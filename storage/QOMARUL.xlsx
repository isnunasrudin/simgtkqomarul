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trlProps/ctrlProp1.xml" ContentType="application/vnd.ms-excel.controlpropertie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trlProps/ctrlProp2.xml" ContentType="application/vnd.ms-excel.control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2" showHorizontalScroll="0"/>
  </bookViews>
  <sheets>
    <sheet name="MENU" sheetId="1" state="visible" r:id="rId3"/>
    <sheet name="Form Kepegawaian" sheetId="2" state="visible" r:id="rId4"/>
    <sheet name="ENTRI" sheetId="3" state="visible" r:id="rId5"/>
    <sheet name="REFERENSI" sheetId="4" state="visible" r:id="rId6"/>
    <sheet name="BIODATA" sheetId="5" state="visible" r:id="rId7"/>
    <sheet name="REKAP" sheetId="6" state="visible" r:id="rId8"/>
    <sheet name="SK " sheetId="7" state="visible" r:id="rId9"/>
  </sheets>
  <externalReferences>
    <externalReference r:id="rId1"/>
    <externalReference r:id="rId2"/>
  </externalReferences>
  <definedNames>
    <definedName name="_xlnm.Print_Area" localSheetId="1">'Form Kepegawaian'!$A$1:$AF$211</definedName>
    <definedName name="_xlnm.Print_Area" localSheetId="4">BIODATA!$B$8:$O$44</definedName>
    <definedName name="_xlnm.Print_Area" localSheetId="6">'SK '!$A$1:$M$51</definedName>
    <definedName name="jenjang">REFERENSI!$L$5:$L$11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<sst xmlns="http://schemas.openxmlformats.org/spreadsheetml/2006/main" count="1126" uniqueCount="1126">
  <si>
    <t xml:space="preserve">YAYASAN PONDOK PESANTREN</t>
  </si>
  <si>
    <t xml:space="preserve">QOMARUL HIDAYAH TRENGGALEK</t>
  </si>
  <si>
    <t xml:space="preserve">AKTE NOTARIS: KAYUN  WIDIHARSONO,S.H,M.Kn   NOMOR: 09 TAHUN 2014</t>
  </si>
  <si>
    <t xml:space="preserve">SK MENKUMHAN RI NOMOR: C-598.HT.03.01-2014</t>
  </si>
  <si>
    <t xml:space="preserve">ALAMAT : JL. PONOROGO, GONDANG, TUGU,TRENGGALEK KP. 66352 TELP. (0355) 792631</t>
  </si>
  <si>
    <t xml:space="preserve">DAFTAR ISIAN</t>
  </si>
  <si>
    <t xml:space="preserve">BUKU INDUK GURU / KARYAWAN</t>
  </si>
  <si>
    <t xml:space="preserve">YAYASAN PONODK PESANTREN QOMARUL HIDAYAH TUGU TRENGGALEK</t>
  </si>
  <si>
    <t>1.</t>
  </si>
  <si>
    <t xml:space="preserve">N a m a </t>
  </si>
  <si>
    <t>:</t>
  </si>
  <si>
    <t>2.</t>
  </si>
  <si>
    <t>Gelar</t>
  </si>
  <si>
    <t>Depan</t>
  </si>
  <si>
    <t>Belakang</t>
  </si>
  <si>
    <t>3.</t>
  </si>
  <si>
    <t xml:space="preserve">N  I  P</t>
  </si>
  <si>
    <t>/</t>
  </si>
  <si>
    <t>NIGY</t>
  </si>
  <si>
    <t>4.</t>
  </si>
  <si>
    <t xml:space="preserve">Tempat / Tgl. Lahir</t>
  </si>
  <si>
    <t>Tgl.</t>
  </si>
  <si>
    <t>Bln.</t>
  </si>
  <si>
    <t>Thn.</t>
  </si>
  <si>
    <t>5.</t>
  </si>
  <si>
    <t>Agama</t>
  </si>
  <si>
    <t xml:space="preserve">I </t>
  </si>
  <si>
    <t>S</t>
  </si>
  <si>
    <t>L</t>
  </si>
  <si>
    <t>A</t>
  </si>
  <si>
    <t>M</t>
  </si>
  <si>
    <t>6.</t>
  </si>
  <si>
    <t>Alamat</t>
  </si>
  <si>
    <t>Rt.</t>
  </si>
  <si>
    <t>Rw.</t>
  </si>
  <si>
    <t>7.</t>
  </si>
  <si>
    <t xml:space="preserve">Status rumah</t>
  </si>
  <si>
    <t xml:space="preserve">Milik sendiri / Kontrak / sewa / numpang / rumah dinas   *)</t>
  </si>
  <si>
    <t>8.</t>
  </si>
  <si>
    <t xml:space="preserve">Status PNS</t>
  </si>
  <si>
    <t>PNS</t>
  </si>
  <si>
    <t xml:space="preserve">NON PNS</t>
  </si>
  <si>
    <t>9.</t>
  </si>
  <si>
    <t xml:space="preserve">Pangkat / Gol (PNS)</t>
  </si>
  <si>
    <t>………………………………………………………………</t>
  </si>
  <si>
    <t>10.</t>
  </si>
  <si>
    <t xml:space="preserve">T M T  Tendik / KPD</t>
  </si>
  <si>
    <t>Tgl</t>
  </si>
  <si>
    <t>Bulan</t>
  </si>
  <si>
    <t>Tahun</t>
  </si>
  <si>
    <t xml:space="preserve">Ket.  PNS = Tgl. SK Capeg                        Non PNS  =  Tgl. Pertama jadi guru</t>
  </si>
  <si>
    <t>11.</t>
  </si>
  <si>
    <t xml:space="preserve">T M T  di Yayasan</t>
  </si>
  <si>
    <t>12.</t>
  </si>
  <si>
    <t xml:space="preserve">T M T  di Satker</t>
  </si>
  <si>
    <t>13.</t>
  </si>
  <si>
    <t>Sertifikasi</t>
  </si>
  <si>
    <t xml:space="preserve">Sudah, Tahun</t>
  </si>
  <si>
    <t>Belum</t>
  </si>
  <si>
    <t>14.</t>
  </si>
  <si>
    <t>NUPTK</t>
  </si>
  <si>
    <t>15.</t>
  </si>
  <si>
    <t>NRG</t>
  </si>
  <si>
    <t xml:space="preserve">Status Inpassing</t>
  </si>
  <si>
    <t>Sudah</t>
  </si>
  <si>
    <t xml:space="preserve">No SK</t>
  </si>
  <si>
    <t xml:space="preserve">Intansi yang menerbitkan</t>
  </si>
  <si>
    <t xml:space="preserve">Pend. Terakhir</t>
  </si>
  <si>
    <t>Jurusan</t>
  </si>
  <si>
    <t xml:space="preserve">Nama Perguruan Tinggi</t>
  </si>
  <si>
    <t>16.</t>
  </si>
  <si>
    <t xml:space="preserve">Mengajar mata pelajaran</t>
  </si>
  <si>
    <t>17.</t>
  </si>
  <si>
    <t>Jabatan</t>
  </si>
  <si>
    <t>Kasek</t>
  </si>
  <si>
    <t>Wakasek</t>
  </si>
  <si>
    <t>Guru</t>
  </si>
  <si>
    <t>18.</t>
  </si>
  <si>
    <t xml:space="preserve">Status Jabatan</t>
  </si>
  <si>
    <t xml:space="preserve">Tetap / Honorer  )*</t>
  </si>
  <si>
    <t>19.</t>
  </si>
  <si>
    <t xml:space="preserve">Riwayat Pendidikan</t>
  </si>
  <si>
    <t>No.</t>
  </si>
  <si>
    <t>Tingkat</t>
  </si>
  <si>
    <t xml:space="preserve">Ijazah Tahun</t>
  </si>
  <si>
    <t>Tempat</t>
  </si>
  <si>
    <t>20.</t>
  </si>
  <si>
    <t xml:space="preserve">Riwayat Pekerjaan</t>
  </si>
  <si>
    <t xml:space="preserve">Surat Keputusan</t>
  </si>
  <si>
    <t xml:space="preserve">Gaji Pokok</t>
  </si>
  <si>
    <t>Terhitung</t>
  </si>
  <si>
    <t xml:space="preserve">Masa Kerja</t>
  </si>
  <si>
    <t>Yayasan/Intansi</t>
  </si>
  <si>
    <t>Nomor</t>
  </si>
  <si>
    <t>Mulai</t>
  </si>
  <si>
    <t>Sampai</t>
  </si>
  <si>
    <t>21.</t>
  </si>
  <si>
    <t xml:space="preserve">Susunan Keluarga</t>
  </si>
  <si>
    <t xml:space="preserve">N  A  M  A</t>
  </si>
  <si>
    <t xml:space="preserve">Tempat. Tgl. Lahir</t>
  </si>
  <si>
    <t>Pekerjaan</t>
  </si>
  <si>
    <t xml:space="preserve">  Ayah</t>
  </si>
  <si>
    <t xml:space="preserve">  Ibu</t>
  </si>
  <si>
    <t xml:space="preserve">  Suami</t>
  </si>
  <si>
    <t xml:space="preserve">  Istri</t>
  </si>
  <si>
    <t xml:space="preserve">  Anak   1</t>
  </si>
  <si>
    <t xml:space="preserve">  Anak   2</t>
  </si>
  <si>
    <t xml:space="preserve">  Anak   3</t>
  </si>
  <si>
    <t xml:space="preserve">  Anak   4</t>
  </si>
  <si>
    <t xml:space="preserve">  Anak   5</t>
  </si>
  <si>
    <t>22.</t>
  </si>
  <si>
    <t xml:space="preserve">Kursus / Penataran / Latihan di dalam dan luar negeri</t>
  </si>
  <si>
    <t>Jenis</t>
  </si>
  <si>
    <t>Lamanya</t>
  </si>
  <si>
    <t>Hari</t>
  </si>
  <si>
    <t>23.</t>
  </si>
  <si>
    <t xml:space="preserve">Pernah Mengajar Mata Pelajaran</t>
  </si>
  <si>
    <t xml:space="preserve">Mata Pelajaran</t>
  </si>
  <si>
    <t xml:space="preserve">Jenis Sekolah</t>
  </si>
  <si>
    <t>Kelas</t>
  </si>
  <si>
    <t>24.</t>
  </si>
  <si>
    <t xml:space="preserve">Pengalaman Kerja selain mengajar (formal dan non formal)</t>
  </si>
  <si>
    <t xml:space="preserve">Dari th.   s.d.   th.</t>
  </si>
  <si>
    <t>Tugas</t>
  </si>
  <si>
    <t>25.</t>
  </si>
  <si>
    <t>Organisasi</t>
  </si>
  <si>
    <t xml:space="preserve">Nama Organisasi</t>
  </si>
  <si>
    <t xml:space="preserve">Th.    s.d    Th.</t>
  </si>
  <si>
    <t>28.</t>
  </si>
  <si>
    <t xml:space="preserve">Bekerja di tempat lain</t>
  </si>
  <si>
    <t>……………………………………………………………………………………………</t>
  </si>
  <si>
    <t>29.</t>
  </si>
  <si>
    <t xml:space="preserve">Keterangan Fisik</t>
  </si>
  <si>
    <t>Tinggi</t>
  </si>
  <si>
    <t>……………</t>
  </si>
  <si>
    <t>cm.</t>
  </si>
  <si>
    <t>Berat</t>
  </si>
  <si>
    <t>…………..</t>
  </si>
  <si>
    <t>kg.</t>
  </si>
  <si>
    <r>
      <t xml:space="preserve">Muka  </t>
    </r>
    <r>
      <rPr>
        <b/>
        <sz val="12"/>
        <color theme="1"/>
        <rFont val="Arial"/>
      </rPr>
      <t>:</t>
    </r>
  </si>
  <si>
    <r>
      <t xml:space="preserve">Rambut  </t>
    </r>
    <r>
      <rPr>
        <b/>
        <sz val="12"/>
        <color theme="1"/>
        <rFont val="Arial"/>
      </rPr>
      <t xml:space="preserve"> :</t>
    </r>
  </si>
  <si>
    <t>………………..</t>
  </si>
  <si>
    <r>
      <t xml:space="preserve">Gol. Darah    </t>
    </r>
    <r>
      <rPr>
        <b/>
        <sz val="12"/>
        <color theme="1"/>
        <rFont val="Arial"/>
      </rPr>
      <t xml:space="preserve"> :</t>
    </r>
  </si>
  <si>
    <t>…………………….</t>
  </si>
  <si>
    <t xml:space="preserve">Sakit yang pernah di derita </t>
  </si>
  <si>
    <r>
      <t xml:space="preserve">1. </t>
    </r>
    <r>
      <rPr>
        <b/>
        <sz val="12"/>
        <color theme="1"/>
        <rFont val="Arial"/>
      </rPr>
      <t>………………………………………………………………………………</t>
    </r>
  </si>
  <si>
    <r>
      <t xml:space="preserve">2. </t>
    </r>
    <r>
      <rPr>
        <b/>
        <sz val="12"/>
        <color theme="1"/>
        <rFont val="Arial"/>
      </rPr>
      <t>………………………………………………………………………………</t>
    </r>
  </si>
  <si>
    <r>
      <t xml:space="preserve">3. </t>
    </r>
    <r>
      <rPr>
        <b/>
        <sz val="12"/>
        <color theme="1"/>
        <rFont val="Arial"/>
      </rPr>
      <t>………………………………………………………………………………</t>
    </r>
  </si>
  <si>
    <t>30.</t>
  </si>
  <si>
    <t xml:space="preserve">Jumlah bersaudara</t>
  </si>
  <si>
    <t>……….</t>
  </si>
  <si>
    <t>orang,</t>
  </si>
  <si>
    <t xml:space="preserve">     Pria</t>
  </si>
  <si>
    <t>orang</t>
  </si>
  <si>
    <t>Wanita</t>
  </si>
  <si>
    <t xml:space="preserve">yang bersangkutan anak ke</t>
  </si>
  <si>
    <t>31.</t>
  </si>
  <si>
    <t xml:space="preserve">Status Perkawinan</t>
  </si>
  <si>
    <t xml:space="preserve">Perjaka / Gadis / Duda / Janda / Berkeluarga  )*</t>
  </si>
  <si>
    <t xml:space="preserve">Tanggal Perkawinan   :</t>
  </si>
  <si>
    <t>Di</t>
  </si>
  <si>
    <t>……….…………………………………………………………………………………..</t>
  </si>
  <si>
    <t>32.</t>
  </si>
  <si>
    <t xml:space="preserve">Bahasa yang dikuasai</t>
  </si>
  <si>
    <t>33.</t>
  </si>
  <si>
    <t xml:space="preserve">Piagam penghargaan/prestasi yang diperoleh</t>
  </si>
  <si>
    <t>……….………………………………………………………………</t>
  </si>
  <si>
    <t>Kepribadian</t>
  </si>
  <si>
    <r>
      <rPr>
        <b/>
        <u val="single"/>
        <sz val="12"/>
        <color theme="1"/>
        <rFont val="Arial"/>
      </rPr>
      <t>Phisik</t>
    </r>
    <r>
      <rPr>
        <sz val="12"/>
        <color theme="1"/>
        <rFont val="Arial"/>
      </rPr>
      <t xml:space="preserve">  =   )*  Coret yang tidak perlu</t>
    </r>
  </si>
  <si>
    <t>Normal</t>
  </si>
  <si>
    <t>X</t>
  </si>
  <si>
    <t xml:space="preserve">Cacat  )*</t>
  </si>
  <si>
    <t xml:space="preserve">Mampu meyakinkan</t>
  </si>
  <si>
    <t xml:space="preserve">Tdk mampu meyakinkan  )*</t>
  </si>
  <si>
    <t xml:space="preserve">Sehat, segar</t>
  </si>
  <si>
    <t xml:space="preserve">Penyakitan  )*</t>
  </si>
  <si>
    <t xml:space="preserve">Suka damai</t>
  </si>
  <si>
    <t xml:space="preserve">Suka bertengkar  )*</t>
  </si>
  <si>
    <t>Kuat</t>
  </si>
  <si>
    <t xml:space="preserve">Lemah  )*</t>
  </si>
  <si>
    <t xml:space="preserve">Cepat adaptasi</t>
  </si>
  <si>
    <t xml:space="preserve">Individual, bnyk musuh  )*</t>
  </si>
  <si>
    <t xml:space="preserve">Penampilan meyakinkan</t>
  </si>
  <si>
    <t xml:space="preserve">Tidak meyakinkan  )*</t>
  </si>
  <si>
    <t xml:space="preserve">Bisa kerja sama</t>
  </si>
  <si>
    <t xml:space="preserve">Tdk. Bisa kerja sama  )*</t>
  </si>
  <si>
    <t xml:space="preserve">Punya inisiatif</t>
  </si>
  <si>
    <t xml:space="preserve">Pasif   )*</t>
  </si>
  <si>
    <r>
      <rPr>
        <b/>
        <u val="single"/>
        <sz val="12"/>
        <color theme="1"/>
        <rFont val="Arial"/>
      </rPr>
      <t>Psychologis</t>
    </r>
    <r>
      <rPr>
        <sz val="12"/>
        <color theme="1"/>
        <rFont val="Arial"/>
      </rPr>
      <t xml:space="preserve">  =   )*  Coret yang tidak perlu</t>
    </r>
  </si>
  <si>
    <t xml:space="preserve">Dinamis, kreatif</t>
  </si>
  <si>
    <t xml:space="preserve">Statis, tradisional   )*</t>
  </si>
  <si>
    <t xml:space="preserve">Normal/ sehat pikiran &amp; Perasaan</t>
  </si>
  <si>
    <t xml:space="preserve">Abnormal/ kacau pikiran &amp; Perasaan  )*</t>
  </si>
  <si>
    <t xml:space="preserve">Terbuka terima masukan</t>
  </si>
  <si>
    <t xml:space="preserve">Tertutup, menang sndiri  )*</t>
  </si>
  <si>
    <t xml:space="preserve">Ingatan kuat</t>
  </si>
  <si>
    <t xml:space="preserve">Pelupa   )*</t>
  </si>
  <si>
    <t>Demokratis</t>
  </si>
  <si>
    <t xml:space="preserve">Totaliter, diktator   )*</t>
  </si>
  <si>
    <t xml:space="preserve">Mau belajar</t>
  </si>
  <si>
    <t xml:space="preserve">Jenuh Belajar   )*</t>
  </si>
  <si>
    <t xml:space="preserve">Toleransi, moderat</t>
  </si>
  <si>
    <t xml:space="preserve">Picik, fanatik   )*</t>
  </si>
  <si>
    <t>Sungguh-sungguh</t>
  </si>
  <si>
    <t xml:space="preserve">Santai / setengah hati  )*</t>
  </si>
  <si>
    <t>Setia</t>
  </si>
  <si>
    <t xml:space="preserve">Penghianat   )*</t>
  </si>
  <si>
    <t xml:space="preserve">Beriman dan bertaqwa</t>
  </si>
  <si>
    <t xml:space="preserve">Atheis / Ingkar   )*</t>
  </si>
  <si>
    <t>Partisipasi</t>
  </si>
  <si>
    <t xml:space="preserve">Masa bodoh   )*</t>
  </si>
  <si>
    <t>Cerdas</t>
  </si>
  <si>
    <t xml:space="preserve">Bodoh   )*</t>
  </si>
  <si>
    <t>Disiplin</t>
  </si>
  <si>
    <t xml:space="preserve">Pelanggar tatib.   )*</t>
  </si>
  <si>
    <t xml:space="preserve">Punya tujuan hidup</t>
  </si>
  <si>
    <t xml:space="preserve">Tidak punya tujuan hidup  )*</t>
  </si>
  <si>
    <t>Pemaaf</t>
  </si>
  <si>
    <t xml:space="preserve">Pendendam   )*</t>
  </si>
  <si>
    <t xml:space="preserve">Kemampuan merencanakan kerja</t>
  </si>
  <si>
    <t xml:space="preserve">Asal kerja   )*</t>
  </si>
  <si>
    <t>Ikhlas</t>
  </si>
  <si>
    <t xml:space="preserve">Cari muka, penjilat   )*</t>
  </si>
  <si>
    <t>Bersih</t>
  </si>
  <si>
    <t xml:space="preserve">Kotor   )*</t>
  </si>
  <si>
    <t>Hemat</t>
  </si>
  <si>
    <t xml:space="preserve">Boros, foya-foya   )*</t>
  </si>
  <si>
    <t>Rapi</t>
  </si>
  <si>
    <t xml:space="preserve">Berantakan   )*</t>
  </si>
  <si>
    <t>Pemurah</t>
  </si>
  <si>
    <t xml:space="preserve">Pemahal   )*</t>
  </si>
  <si>
    <t xml:space="preserve">Optimis, berpengharapan</t>
  </si>
  <si>
    <t xml:space="preserve">Pesimis, putus asa  )*</t>
  </si>
  <si>
    <t xml:space="preserve">Pengasih, dermawan</t>
  </si>
  <si>
    <t xml:space="preserve">Peminta, kikir   )*</t>
  </si>
  <si>
    <t xml:space="preserve">Berjiwa besar, Percaya diri</t>
  </si>
  <si>
    <t xml:space="preserve">Berjiwa kecil, tdk PD  )*</t>
  </si>
  <si>
    <t>Penyayang</t>
  </si>
  <si>
    <t xml:space="preserve">Kejam, sadis, brutal   )*</t>
  </si>
  <si>
    <t xml:space="preserve">Rajin, tekun</t>
  </si>
  <si>
    <t xml:space="preserve">Pemalas, pembosan</t>
  </si>
  <si>
    <t>Penyabar</t>
  </si>
  <si>
    <t xml:space="preserve">Pemarah, mudah trsinggung  )*</t>
  </si>
  <si>
    <t>Teliti</t>
  </si>
  <si>
    <t xml:space="preserve">Ceroboh   )*</t>
  </si>
  <si>
    <t xml:space="preserve">Kebiasaan baik</t>
  </si>
  <si>
    <t xml:space="preserve">Todak baik, iri dengki  )*</t>
  </si>
  <si>
    <t xml:space="preserve">Ulet, semangat</t>
  </si>
  <si>
    <t xml:space="preserve">Cepat menyerah   )*</t>
  </si>
  <si>
    <t xml:space="preserve">Pahlawan, berani…</t>
  </si>
  <si>
    <t xml:space="preserve">Pengecut   )*</t>
  </si>
  <si>
    <t>Tenang</t>
  </si>
  <si>
    <t xml:space="preserve">Tergesa-gesa, gelisah   )*</t>
  </si>
  <si>
    <t xml:space="preserve">Kepribadian kuat, stabil</t>
  </si>
  <si>
    <t xml:space="preserve">Kepribadian lemah, labil  )*</t>
  </si>
  <si>
    <t xml:space="preserve">Penampilan senang</t>
  </si>
  <si>
    <t xml:space="preserve">Susah   )*</t>
  </si>
  <si>
    <t xml:space="preserve">Idealis, realis</t>
  </si>
  <si>
    <t xml:space="preserve">Materialis   )*</t>
  </si>
  <si>
    <t>Ceria</t>
  </si>
  <si>
    <t xml:space="preserve">Sedih   )*</t>
  </si>
  <si>
    <t xml:space="preserve">Teopritis, praktis</t>
  </si>
  <si>
    <t xml:space="preserve">Pelamun, spekulatif   )*</t>
  </si>
  <si>
    <t>Lincah</t>
  </si>
  <si>
    <t xml:space="preserve">Kaku   )*</t>
  </si>
  <si>
    <t>Kerakyatan</t>
  </si>
  <si>
    <t xml:space="preserve">Feodal, nepotisme   )*</t>
  </si>
  <si>
    <t>Humoris</t>
  </si>
  <si>
    <t xml:space="preserve">Pendiam   )*</t>
  </si>
  <si>
    <t xml:space="preserve">Kaya ilmu, ahli</t>
  </si>
  <si>
    <t xml:space="preserve">Awam, sok tahu   )*</t>
  </si>
  <si>
    <t xml:space="preserve">Prasangka baik</t>
  </si>
  <si>
    <t xml:space="preserve">Curiga, cemburu   )*</t>
  </si>
  <si>
    <t>Ambisius</t>
  </si>
  <si>
    <t xml:space="preserve">Tdk berambisi   )*</t>
  </si>
  <si>
    <t xml:space="preserve">Jujur, Sportif</t>
  </si>
  <si>
    <t xml:space="preserve">Pendusta, licik   )*</t>
  </si>
  <si>
    <t xml:space="preserve">Bertanggung jawab</t>
  </si>
  <si>
    <t xml:space="preserve">Tdk. Bertanggung jwb   )*</t>
  </si>
  <si>
    <t xml:space="preserve">Arif, peka keadaan</t>
  </si>
  <si>
    <t xml:space="preserve">Tidak arif   )*</t>
  </si>
  <si>
    <t xml:space="preserve">Berani tanggung resiko</t>
  </si>
  <si>
    <t xml:space="preserve">Pengecut resiko   )*</t>
  </si>
  <si>
    <t xml:space="preserve">Adil, bijaksana</t>
  </si>
  <si>
    <t xml:space="preserve">Tidak adil   )*</t>
  </si>
  <si>
    <t xml:space="preserve">Kepemimpinan ada</t>
  </si>
  <si>
    <t xml:space="preserve">tdk. Berjiwa pemimpin  )*</t>
  </si>
  <si>
    <t xml:space="preserve">Ramah, sopan, supel</t>
  </si>
  <si>
    <t xml:space="preserve">Sombong, angkuh   )*</t>
  </si>
  <si>
    <t xml:space="preserve">Bersyukur pada taqdir</t>
  </si>
  <si>
    <t xml:space="preserve">Serakah, serba kurang  )*</t>
  </si>
  <si>
    <t xml:space="preserve">Fasih, lancar, sistematis</t>
  </si>
  <si>
    <t xml:space="preserve">Gugup, kacau, judes  )*</t>
  </si>
  <si>
    <t>34.</t>
  </si>
  <si>
    <t xml:space="preserve">Kesan lain-lain</t>
  </si>
  <si>
    <t>………………...……………………………………………………………………………………………………</t>
  </si>
  <si>
    <t>35.</t>
  </si>
  <si>
    <t xml:space="preserve">Sebab berhenti / pindah</t>
  </si>
  <si>
    <t xml:space="preserve">dimutasikan / mengundurkan diri / dipecat   )*</t>
  </si>
  <si>
    <t xml:space="preserve">Trenggalek, ………………………….</t>
  </si>
  <si>
    <t xml:space="preserve">Tanda tangan  Ybs,</t>
  </si>
  <si>
    <t xml:space="preserve">An. Ketua YPP Qomarul Hidayah</t>
  </si>
  <si>
    <t xml:space="preserve">Kepala Bidang Personalia</t>
  </si>
  <si>
    <t>-----------------------------------------------</t>
  </si>
  <si>
    <t>NIGY.</t>
  </si>
  <si>
    <t xml:space="preserve">Tanggal entri Data</t>
  </si>
  <si>
    <t>Tanggal</t>
  </si>
  <si>
    <t>14</t>
  </si>
  <si>
    <t>Juli</t>
  </si>
  <si>
    <t>NO</t>
  </si>
  <si>
    <t>SATKER</t>
  </si>
  <si>
    <t>KODE</t>
  </si>
  <si>
    <t>DUK</t>
  </si>
  <si>
    <t>STATUS</t>
  </si>
  <si>
    <t>NAMA</t>
  </si>
  <si>
    <t xml:space="preserve">TEMPAT TANGGAL LAHIR</t>
  </si>
  <si>
    <t xml:space="preserve">MASA KERJA</t>
  </si>
  <si>
    <t xml:space="preserve">PENDIDIKAN TERAKIR</t>
  </si>
  <si>
    <t>INPASSING</t>
  </si>
  <si>
    <t xml:space="preserve">TUGAS UTAMA</t>
  </si>
  <si>
    <t>SERTIFIKASI</t>
  </si>
  <si>
    <t xml:space="preserve">TMT YAYASAN</t>
  </si>
  <si>
    <t xml:space="preserve">TMT SATKER</t>
  </si>
  <si>
    <t xml:space="preserve">SELURUHNYA (TAHUN0</t>
  </si>
  <si>
    <t xml:space="preserve">DI SATKER (TAHUN)</t>
  </si>
  <si>
    <t>01</t>
  </si>
  <si>
    <t>-</t>
  </si>
  <si>
    <t xml:space="preserve">Kepala Sekolah</t>
  </si>
  <si>
    <t>TEMPAT</t>
  </si>
  <si>
    <t>TANGGAL</t>
  </si>
  <si>
    <t>BULAN</t>
  </si>
  <si>
    <t>TAHUN</t>
  </si>
  <si>
    <t>JENJANG</t>
  </si>
  <si>
    <t>JURUSAN</t>
  </si>
  <si>
    <t xml:space="preserve">TAHUN LULUS</t>
  </si>
  <si>
    <t>JABATAN</t>
  </si>
  <si>
    <t>PANGKAT</t>
  </si>
  <si>
    <t>GOLONGAN</t>
  </si>
  <si>
    <t>MENGAJAR</t>
  </si>
  <si>
    <t>JTM</t>
  </si>
  <si>
    <t xml:space="preserve">TUGAS TAMBAHAN</t>
  </si>
  <si>
    <t xml:space="preserve">EKUIVALEN </t>
  </si>
  <si>
    <t xml:space="preserve">JML BEBAN KERJA</t>
  </si>
  <si>
    <t>02</t>
  </si>
  <si>
    <t xml:space="preserve">Kepala Madrasah</t>
  </si>
  <si>
    <t>RA</t>
  </si>
  <si>
    <t>Hj.AZ.MUTIATUN,A.Ma</t>
  </si>
  <si>
    <t>Trenggalek</t>
  </si>
  <si>
    <t>04</t>
  </si>
  <si>
    <t>07</t>
  </si>
  <si>
    <t xml:space="preserve">D II</t>
  </si>
  <si>
    <t>PAI</t>
  </si>
  <si>
    <t>BELUM</t>
  </si>
  <si>
    <t xml:space="preserve">Guru Kelas</t>
  </si>
  <si>
    <t>03</t>
  </si>
  <si>
    <t xml:space="preserve">Waka Kurikulum</t>
  </si>
  <si>
    <t xml:space="preserve">RINA WIJAYANTI,S.Pd.I</t>
  </si>
  <si>
    <t>S1</t>
  </si>
  <si>
    <t>SUDAH</t>
  </si>
  <si>
    <t xml:space="preserve">GURU PERTAMA</t>
  </si>
  <si>
    <t xml:space="preserve">III A</t>
  </si>
  <si>
    <t>4757763664300032</t>
  </si>
  <si>
    <t xml:space="preserve">Waka Kesiswaan</t>
  </si>
  <si>
    <t xml:space="preserve">HIDAYATUL LAILI,S.Ag</t>
  </si>
  <si>
    <t xml:space="preserve">GURU MADYA</t>
  </si>
  <si>
    <t xml:space="preserve">III B</t>
  </si>
  <si>
    <t>120212191003</t>
  </si>
  <si>
    <t>1357751652300013</t>
  </si>
  <si>
    <t>05</t>
  </si>
  <si>
    <t xml:space="preserve">Waka Sarana Prasarana</t>
  </si>
  <si>
    <t xml:space="preserve">RENI FARICHA ARIANI,S.Pd.I</t>
  </si>
  <si>
    <t>PGMI</t>
  </si>
  <si>
    <t>3448763664300032</t>
  </si>
  <si>
    <t>06</t>
  </si>
  <si>
    <t xml:space="preserve">Waka Humas</t>
  </si>
  <si>
    <t>PAUD</t>
  </si>
  <si>
    <t>ISTIQOMAH</t>
  </si>
  <si>
    <t xml:space="preserve">Guru sentra</t>
  </si>
  <si>
    <t>021389407006</t>
  </si>
  <si>
    <t>1641746650300012</t>
  </si>
  <si>
    <t xml:space="preserve">Kepala Lab. IPA</t>
  </si>
  <si>
    <t xml:space="preserve">IKA SULISTIOWATI</t>
  </si>
  <si>
    <t>B.INGGRIS</t>
  </si>
  <si>
    <t>091535962003</t>
  </si>
  <si>
    <t>4538757658300060</t>
  </si>
  <si>
    <t>08</t>
  </si>
  <si>
    <t xml:space="preserve">Kepala Lab. Bahasa</t>
  </si>
  <si>
    <t xml:space="preserve">Tenaga Kependidikan</t>
  </si>
  <si>
    <t xml:space="preserve">SITI MAESAROH</t>
  </si>
  <si>
    <t>SLTA</t>
  </si>
  <si>
    <t>SK</t>
  </si>
  <si>
    <t>122172183005</t>
  </si>
  <si>
    <t>4433758659300190</t>
  </si>
  <si>
    <t>09</t>
  </si>
  <si>
    <t xml:space="preserve">Kepala Lab. Komputer</t>
  </si>
  <si>
    <t>MI</t>
  </si>
  <si>
    <t xml:space="preserve">SITI CHOIRIYAH,S.Pd.I</t>
  </si>
  <si>
    <t xml:space="preserve">GURU DEWASA</t>
  </si>
  <si>
    <t xml:space="preserve">III C</t>
  </si>
  <si>
    <t>6858764666200002</t>
  </si>
  <si>
    <t>10</t>
  </si>
  <si>
    <t xml:space="preserve">Kepala Lab. Produksi</t>
  </si>
  <si>
    <t xml:space="preserve">IMMAROTUS SA'ADAH,S.Pd.I</t>
  </si>
  <si>
    <t>4444766668110012</t>
  </si>
  <si>
    <t>11</t>
  </si>
  <si>
    <t xml:space="preserve">Kepala Perpustakaan </t>
  </si>
  <si>
    <t xml:space="preserve">NAILI ROHMAH,S.E</t>
  </si>
  <si>
    <t>AKUNTASI</t>
  </si>
  <si>
    <t>20541857191001</t>
  </si>
  <si>
    <t>12</t>
  </si>
  <si>
    <t xml:space="preserve">Kepala Bengkel</t>
  </si>
  <si>
    <t xml:space="preserve">DUKAN KHOIRI,S.Pd.I</t>
  </si>
  <si>
    <t xml:space="preserve">GURU KELAS AGAMA</t>
  </si>
  <si>
    <t>20541857189001</t>
  </si>
  <si>
    <t>13</t>
  </si>
  <si>
    <t xml:space="preserve">Kepala Tata Usaha</t>
  </si>
  <si>
    <t>MTs</t>
  </si>
  <si>
    <t xml:space="preserve">RION ADI WIJAYA,S.Pd</t>
  </si>
  <si>
    <t>PBS/PBSI</t>
  </si>
  <si>
    <t xml:space="preserve">GURU PENJASKES</t>
  </si>
  <si>
    <t>20541857187001</t>
  </si>
  <si>
    <t xml:space="preserve">SITI SHOLIKAH,S.Pd</t>
  </si>
  <si>
    <t>6363763665120003</t>
  </si>
  <si>
    <t>15</t>
  </si>
  <si>
    <t>MUSTANGIN,S.Pd.I</t>
  </si>
  <si>
    <t xml:space="preserve">GURU AGAMA</t>
  </si>
  <si>
    <t>4538757658300062</t>
  </si>
  <si>
    <t>16</t>
  </si>
  <si>
    <t xml:space="preserve">ENDANG SUMARSIH,S.Pd.I</t>
  </si>
  <si>
    <t xml:space="preserve">Tulung agung</t>
  </si>
  <si>
    <t>095021192809</t>
  </si>
  <si>
    <t>4435751652200022</t>
  </si>
  <si>
    <t>17</t>
  </si>
  <si>
    <t xml:space="preserve">NUZULUL MUKAROMAH,S.Pd.I</t>
  </si>
  <si>
    <t>18</t>
  </si>
  <si>
    <t xml:space="preserve">KHOIRUL BAHRI,S.Pd</t>
  </si>
  <si>
    <t>PIPS/PKN</t>
  </si>
  <si>
    <t>19</t>
  </si>
  <si>
    <t xml:space="preserve">H. SYAIFUL MAHBUB, S.Sy</t>
  </si>
  <si>
    <t>Syariah</t>
  </si>
  <si>
    <t>Aswaja</t>
  </si>
  <si>
    <t>20542411186001</t>
  </si>
  <si>
    <t>20</t>
  </si>
  <si>
    <t xml:space="preserve">INDRA GUNAWAN,S.Pd.I</t>
  </si>
  <si>
    <t xml:space="preserve">Pendidikan Agama Islam</t>
  </si>
  <si>
    <t>20542411189001</t>
  </si>
  <si>
    <t>21</t>
  </si>
  <si>
    <t xml:space="preserve">SUGENG SUPRAYOGO, S.Pd</t>
  </si>
  <si>
    <t xml:space="preserve">Seni Budaya</t>
  </si>
  <si>
    <t>3760761663110042</t>
  </si>
  <si>
    <t>22</t>
  </si>
  <si>
    <t xml:space="preserve">BAROKALLAH, S.Sos</t>
  </si>
  <si>
    <t>Kediri</t>
  </si>
  <si>
    <t xml:space="preserve">Ilmu Sosial dan Ilmu Politik</t>
  </si>
  <si>
    <t>PKn</t>
  </si>
  <si>
    <t>131542179003</t>
  </si>
  <si>
    <t>7342755657110113</t>
  </si>
  <si>
    <t>23</t>
  </si>
  <si>
    <t xml:space="preserve">SITI MUSAROPAH, S.Ag</t>
  </si>
  <si>
    <t>Aqidah</t>
  </si>
  <si>
    <t>091688417014</t>
  </si>
  <si>
    <t>8041748650300023</t>
  </si>
  <si>
    <t>24</t>
  </si>
  <si>
    <t xml:space="preserve">SUDARTI, S.Ag</t>
  </si>
  <si>
    <t xml:space="preserve">SKI, Qur'an Hadist</t>
  </si>
  <si>
    <t>092190392017</t>
  </si>
  <si>
    <t>5451743647380003</t>
  </si>
  <si>
    <t>25</t>
  </si>
  <si>
    <t xml:space="preserve">ANIF KUSNAWATI, S.Ag</t>
  </si>
  <si>
    <t>IPS</t>
  </si>
  <si>
    <t>092737942012</t>
  </si>
  <si>
    <t>6962753654300002</t>
  </si>
  <si>
    <t>26</t>
  </si>
  <si>
    <t xml:space="preserve">IMAM MAKRUS, S.Ag</t>
  </si>
  <si>
    <t xml:space="preserve">Aqidah, Qur'an Hadist</t>
  </si>
  <si>
    <t>101486432014</t>
  </si>
  <si>
    <t>9847750652200012</t>
  </si>
  <si>
    <t>27</t>
  </si>
  <si>
    <t xml:space="preserve">BAHRUN ROFIQI, S.Ag</t>
  </si>
  <si>
    <t xml:space="preserve">Fiqih, Qur'an Hadist</t>
  </si>
  <si>
    <t>112372126016</t>
  </si>
  <si>
    <t>0958751653200012</t>
  </si>
  <si>
    <t>28</t>
  </si>
  <si>
    <t xml:space="preserve">SMK 2</t>
  </si>
  <si>
    <t xml:space="preserve">ZAYYINA BINTANG NURDIANA YUSUF</t>
  </si>
  <si>
    <t xml:space="preserve">Bahasa Arab</t>
  </si>
  <si>
    <t>122392148017</t>
  </si>
  <si>
    <t>7445751654200003</t>
  </si>
  <si>
    <t>29</t>
  </si>
  <si>
    <t xml:space="preserve">DWI PURWATININGSIH, S.Pd</t>
  </si>
  <si>
    <t xml:space="preserve">Pendidikan Matematika</t>
  </si>
  <si>
    <t>Matematika</t>
  </si>
  <si>
    <t>091688472004</t>
  </si>
  <si>
    <t>7041759661300013</t>
  </si>
  <si>
    <t>30</t>
  </si>
  <si>
    <t xml:space="preserve">BANGKIT ADI SWASONO, M.Pd</t>
  </si>
  <si>
    <t>S2</t>
  </si>
  <si>
    <t xml:space="preserve">Pendidikan Bahasa Indonesia</t>
  </si>
  <si>
    <t xml:space="preserve">Bahasa Indonesia</t>
  </si>
  <si>
    <t>101488977005</t>
  </si>
  <si>
    <t>1852759661200012</t>
  </si>
  <si>
    <t>31</t>
  </si>
  <si>
    <t xml:space="preserve">SITI NUR'ALIYAH, S.Pd.I</t>
  </si>
  <si>
    <t xml:space="preserve">Bandung Baru</t>
  </si>
  <si>
    <t>111002188003</t>
  </si>
  <si>
    <t>4552756657300022</t>
  </si>
  <si>
    <t xml:space="preserve">SITI NURSIYAH, S.Pd</t>
  </si>
  <si>
    <t xml:space="preserve">Pendidikan Bahasa Inggris</t>
  </si>
  <si>
    <t xml:space="preserve">Bahasa Inggris</t>
  </si>
  <si>
    <t>091987957011</t>
  </si>
  <si>
    <t>3947756657300012</t>
  </si>
  <si>
    <t xml:space="preserve">ALI MASKUR, S.Pd.I</t>
  </si>
  <si>
    <t>TIK</t>
  </si>
  <si>
    <t>122242188011</t>
  </si>
  <si>
    <t>1160763666200003</t>
  </si>
  <si>
    <t xml:space="preserve">FARHATUN NADHIROH, S.Si</t>
  </si>
  <si>
    <t>Madiun</t>
  </si>
  <si>
    <t>KIMIA</t>
  </si>
  <si>
    <t>IPA</t>
  </si>
  <si>
    <t>021285967011</t>
  </si>
  <si>
    <t>0533758659210152</t>
  </si>
  <si>
    <t xml:space="preserve">AGUNG BUDI SUSILO, S.Pd</t>
  </si>
  <si>
    <t>Penjaskesrek</t>
  </si>
  <si>
    <t>Penjaskes</t>
  </si>
  <si>
    <t>132202183003</t>
  </si>
  <si>
    <t>9442759661200022</t>
  </si>
  <si>
    <t xml:space="preserve">AGUNG WITANTO, S.Pd</t>
  </si>
  <si>
    <t xml:space="preserve">Pendidikan Fisika</t>
  </si>
  <si>
    <t>130972178002</t>
  </si>
  <si>
    <t>7538761663110053</t>
  </si>
  <si>
    <t xml:space="preserve">WIJI SALAMAH, S.Pd.I</t>
  </si>
  <si>
    <t xml:space="preserve">Seni Budaya, Aswaja</t>
  </si>
  <si>
    <t>4148764665300033</t>
  </si>
  <si>
    <t xml:space="preserve">RARA RATNA WW, M.Pd</t>
  </si>
  <si>
    <t>2537761662110072</t>
  </si>
  <si>
    <t xml:space="preserve">SILVIA NOFA ANGGRAINI, S.Pd.I</t>
  </si>
  <si>
    <t xml:space="preserve">Tadris Matematika</t>
  </si>
  <si>
    <t>20542411189002</t>
  </si>
  <si>
    <t>MUSRINGAH</t>
  </si>
  <si>
    <t>SPG/PGTK/SD</t>
  </si>
  <si>
    <t>3444738639300022</t>
  </si>
  <si>
    <t xml:space="preserve">NORA INDAH WULANSARI, S.Pd</t>
  </si>
  <si>
    <t xml:space="preserve">Pendidikan Bahasa Inggris </t>
  </si>
  <si>
    <t>20542411191001</t>
  </si>
  <si>
    <t xml:space="preserve">NUR IKHSAN, S.Pd</t>
  </si>
  <si>
    <t xml:space="preserve">INTAN AYU LESTARI SIWI NAINGGOLAN,S.Pd</t>
  </si>
  <si>
    <t>PGSD</t>
  </si>
  <si>
    <t xml:space="preserve">IMAM MUBAROK,S.Pd</t>
  </si>
  <si>
    <t xml:space="preserve">Bimbingan Konseling </t>
  </si>
  <si>
    <t xml:space="preserve">SUCI MAYASARI, S.Pd</t>
  </si>
  <si>
    <t xml:space="preserve">SMK 1</t>
  </si>
  <si>
    <t xml:space="preserve">H.M.BISYRI AFANDI, S.Pd.I</t>
  </si>
  <si>
    <t xml:space="preserve">Sedi Budaya &amp; Qur'an Hadist</t>
  </si>
  <si>
    <t xml:space="preserve">JAKIYATUN NAFSIYAH, S.Ag</t>
  </si>
  <si>
    <t xml:space="preserve">Bhs.Inggris &amp; KKPI</t>
  </si>
  <si>
    <t xml:space="preserve">MARITA DWI WULANDARI, S.Pd</t>
  </si>
  <si>
    <t>Bhs.Inggris</t>
  </si>
  <si>
    <t xml:space="preserve">GURU MUDA</t>
  </si>
  <si>
    <t>BP/BK</t>
  </si>
  <si>
    <t xml:space="preserve">NAFIUL ANWAR, S.Pd</t>
  </si>
  <si>
    <t>PKN</t>
  </si>
  <si>
    <t xml:space="preserve">IKA SRIWINDIATI, S.Pd</t>
  </si>
  <si>
    <t xml:space="preserve">BAHASA INGGRIS</t>
  </si>
  <si>
    <t xml:space="preserve">Mulok, IPA</t>
  </si>
  <si>
    <t xml:space="preserve">INFIRUL AZIZAH, S.Pd</t>
  </si>
  <si>
    <t xml:space="preserve">III D</t>
  </si>
  <si>
    <t xml:space="preserve">Teknik Pengelasan</t>
  </si>
  <si>
    <t xml:space="preserve">USNAN, S.T</t>
  </si>
  <si>
    <t>Klangenan</t>
  </si>
  <si>
    <t xml:space="preserve">Teknik Mesin</t>
  </si>
  <si>
    <t>ADMINISTRASI</t>
  </si>
  <si>
    <t xml:space="preserve">MUTOHIROTUN NISAK,S.Pd</t>
  </si>
  <si>
    <t>KKPI</t>
  </si>
  <si>
    <t xml:space="preserve">AHMAD YUSUF, S.Pd.I</t>
  </si>
  <si>
    <t>Bhs.Indonesia</t>
  </si>
  <si>
    <t xml:space="preserve">LINARSIH, S.Pd</t>
  </si>
  <si>
    <t>Bhs.INDONESIA</t>
  </si>
  <si>
    <t xml:space="preserve">IV A</t>
  </si>
  <si>
    <t xml:space="preserve">NUR MAWADAH,S.Pd</t>
  </si>
  <si>
    <t>kwu</t>
  </si>
  <si>
    <t xml:space="preserve">WIJIARSO, S.E</t>
  </si>
  <si>
    <t xml:space="preserve">Ekonomi </t>
  </si>
  <si>
    <t xml:space="preserve">AHMAD SHOFAUL NGABIDIN, S.Pd.</t>
  </si>
  <si>
    <t xml:space="preserve">Drs. PAMUJI</t>
  </si>
  <si>
    <t xml:space="preserve">WA / Pembina</t>
  </si>
  <si>
    <t>082285397003</t>
  </si>
  <si>
    <t>9453738641200002</t>
  </si>
  <si>
    <t xml:space="preserve">TOMY BAYU PUTRANTO, S.Pd</t>
  </si>
  <si>
    <t>Pacitan</t>
  </si>
  <si>
    <t xml:space="preserve">AYU NOVITASARI, S.Pd</t>
  </si>
  <si>
    <t>Fisika</t>
  </si>
  <si>
    <t xml:space="preserve">SYAIFUL HABIB, SE., M.Pd.</t>
  </si>
  <si>
    <t xml:space="preserve">Manajemen Pendidikan Islam</t>
  </si>
  <si>
    <t xml:space="preserve">Prakarya, Ta'lim </t>
  </si>
  <si>
    <t xml:space="preserve">Dra. SITI MARFU'AH</t>
  </si>
  <si>
    <t xml:space="preserve">Pendidikan Agama Islam </t>
  </si>
  <si>
    <t>Ekonomi/IPS</t>
  </si>
  <si>
    <t>082086892004</t>
  </si>
  <si>
    <t>4749743646300010</t>
  </si>
  <si>
    <t xml:space="preserve">HERU SANTOSO, S.Pd</t>
  </si>
  <si>
    <t xml:space="preserve">PDU Koperasi</t>
  </si>
  <si>
    <t xml:space="preserve">Membuat Pola, Busana Wanita, Memilih Bahan, Mengawasi mutu busana </t>
  </si>
  <si>
    <t>7550743646200013</t>
  </si>
  <si>
    <t xml:space="preserve">Drs. AMIN THOHARI, S.Pd</t>
  </si>
  <si>
    <t xml:space="preserve">Pendidikan Jasmani Kesehatan dan Rekreasi </t>
  </si>
  <si>
    <t>Penjasorkes</t>
  </si>
  <si>
    <t>081738901007</t>
  </si>
  <si>
    <t>2340746648200013</t>
  </si>
  <si>
    <t xml:space="preserve">JUMROHTU UMAMI, S.Pd</t>
  </si>
  <si>
    <t xml:space="preserve">Pendidikan Dunia Usaha/Administrasi Perkantoran</t>
  </si>
  <si>
    <t xml:space="preserve">Peralatan kantor, menangani surat, mengelola sistem kearsipan, membuat dokumen </t>
  </si>
  <si>
    <t>125391844001</t>
  </si>
  <si>
    <t>1751751651300002</t>
  </si>
  <si>
    <t xml:space="preserve">AINUN GHONIMAH, M.Pd.</t>
  </si>
  <si>
    <t>091335957007</t>
  </si>
  <si>
    <t>1558754655300012</t>
  </si>
  <si>
    <t xml:space="preserve">HARI WIJAYANTI, S.Pd</t>
  </si>
  <si>
    <t xml:space="preserve">Pendidikan Akuntansi</t>
  </si>
  <si>
    <t xml:space="preserve">Aplikasi presentasi,prosedur administrasi,mengelola pertemuan,menggandakan dokumen,mengelola perjalanan bisnis,aplikasi administrasi ditempat kerja</t>
  </si>
  <si>
    <t>3437761662300062</t>
  </si>
  <si>
    <t xml:space="preserve">TRI HARTINI, S.Pd</t>
  </si>
  <si>
    <t xml:space="preserve">Matematika </t>
  </si>
  <si>
    <t xml:space="preserve">SUSTI ARISTA, S.Pd</t>
  </si>
  <si>
    <t xml:space="preserve">Pendidikan Bahasa dan Sastra Indonesia</t>
  </si>
  <si>
    <t xml:space="preserve">Bahasa Indonesia, Bahasa Jawa </t>
  </si>
  <si>
    <t xml:space="preserve">ATIS TIA MAHARANI, S.Pd</t>
  </si>
  <si>
    <t>Bojonegoro</t>
  </si>
  <si>
    <t xml:space="preserve">Pengembangan Diri </t>
  </si>
  <si>
    <t xml:space="preserve">HADIQUN NUHA A,Ma</t>
  </si>
  <si>
    <t>PGSD/PGMI</t>
  </si>
  <si>
    <t>6150763665200020</t>
  </si>
  <si>
    <t xml:space="preserve">DWI NUR INDAHSARI, S.Pd</t>
  </si>
  <si>
    <t xml:space="preserve">NURPUJI ASTUTI, S.Pd</t>
  </si>
  <si>
    <t xml:space="preserve">Pendiddikan Matematika </t>
  </si>
  <si>
    <t xml:space="preserve">BINTI ANIYAH, S.Pd.I</t>
  </si>
  <si>
    <t xml:space="preserve">Blitar </t>
  </si>
  <si>
    <t xml:space="preserve">Tadris Bahasa Inggris</t>
  </si>
  <si>
    <t>MA</t>
  </si>
  <si>
    <t xml:space="preserve">Drs. WAGIMAN</t>
  </si>
  <si>
    <t xml:space="preserve">PENDIDIKAN AGAMA ISLAM</t>
  </si>
  <si>
    <t xml:space="preserve"> </t>
  </si>
  <si>
    <t xml:space="preserve">QUR'AN HADITS</t>
  </si>
  <si>
    <t>1362736652200003</t>
  </si>
  <si>
    <t xml:space="preserve">MUJIONO, S. Pd</t>
  </si>
  <si>
    <t xml:space="preserve">PENDIDIKAN BAHASA INDONESIA</t>
  </si>
  <si>
    <t>PEMBINA</t>
  </si>
  <si>
    <t xml:space="preserve">BAHASA INDONESIA</t>
  </si>
  <si>
    <t>000240017423</t>
  </si>
  <si>
    <t>1748743645200002</t>
  </si>
  <si>
    <t xml:space="preserve">Drs. SUWITO</t>
  </si>
  <si>
    <t xml:space="preserve">PENDIDIKAN EKONOMI</t>
  </si>
  <si>
    <t>EKONOMI</t>
  </si>
  <si>
    <t>000230017429</t>
  </si>
  <si>
    <t>6459744646200002</t>
  </si>
  <si>
    <t xml:space="preserve">MUSLIHUN, S. Ag</t>
  </si>
  <si>
    <t>WARINGINSARI</t>
  </si>
  <si>
    <t xml:space="preserve">AL-QUR'AN HADITS DAN FIQIH</t>
  </si>
  <si>
    <t>000280007295</t>
  </si>
  <si>
    <t>6735746649200072</t>
  </si>
  <si>
    <t xml:space="preserve">LAINEM, S. Ag</t>
  </si>
  <si>
    <t xml:space="preserve">PENATA TK. I</t>
  </si>
  <si>
    <t xml:space="preserve">AQIDAH AKHLAK, SKI, SEJARAH</t>
  </si>
  <si>
    <t>122352135018</t>
  </si>
  <si>
    <t>5654744646300002</t>
  </si>
  <si>
    <t xml:space="preserve">HADI MUHTAROM, A. Md</t>
  </si>
  <si>
    <t xml:space="preserve">D III</t>
  </si>
  <si>
    <t xml:space="preserve">TEKNIK ELEKTRONIKA</t>
  </si>
  <si>
    <t xml:space="preserve">TEKNOLOGI INFORMASI DAN KOMUNIKASI</t>
  </si>
  <si>
    <t>9247761663200003</t>
  </si>
  <si>
    <t xml:space="preserve">KH. AHMAD BAJURI</t>
  </si>
  <si>
    <t>BANYUWANGI</t>
  </si>
  <si>
    <t>1742734647200002</t>
  </si>
  <si>
    <t xml:space="preserve">SETYO WAHYUNI, S. Pd</t>
  </si>
  <si>
    <t xml:space="preserve">PENDIDIKAN GEOGRAFI</t>
  </si>
  <si>
    <t xml:space="preserve">PENATA MUDA TK. I</t>
  </si>
  <si>
    <t xml:space="preserve">GEOGRAFI DAN SOSIOLOGI</t>
  </si>
  <si>
    <t>022289967002</t>
  </si>
  <si>
    <t>5353758660300013</t>
  </si>
  <si>
    <t xml:space="preserve">JUMROTUL ULIYAH, S. Pd I</t>
  </si>
  <si>
    <t xml:space="preserve">PENDIDIKAN BAHASA ARAB</t>
  </si>
  <si>
    <t xml:space="preserve">BAHASA ARAB, MUHADATSAH</t>
  </si>
  <si>
    <t>132392161032</t>
  </si>
  <si>
    <t>4260760662300013</t>
  </si>
  <si>
    <t xml:space="preserve">PENNY WIDJAJANTI, SP</t>
  </si>
  <si>
    <t>SURABAYA</t>
  </si>
  <si>
    <t xml:space="preserve">SOSIAL EKONOMI PERTANIAN</t>
  </si>
  <si>
    <t xml:space="preserve">BIOLOGI DAN SOSIOLOGI</t>
  </si>
  <si>
    <t>0537757659300042</t>
  </si>
  <si>
    <t xml:space="preserve">IMAM HANAFI AHMAD, S. Pd</t>
  </si>
  <si>
    <t>TRENGGALEK</t>
  </si>
  <si>
    <t xml:space="preserve">BAHAS INGGRIS</t>
  </si>
  <si>
    <t>1554765668200003</t>
  </si>
  <si>
    <t xml:space="preserve">SULISTIANA, ST</t>
  </si>
  <si>
    <t>MATEMATIKA</t>
  </si>
  <si>
    <t>3956755656220002</t>
  </si>
  <si>
    <t xml:space="preserve">SRI LESTARI, SP</t>
  </si>
  <si>
    <t>JAKARTA</t>
  </si>
  <si>
    <t xml:space="preserve">AGRO TEKNOLOGI</t>
  </si>
  <si>
    <t>2839751652220002</t>
  </si>
  <si>
    <t xml:space="preserve">ZAHROH ANISAK, S. Pd. I</t>
  </si>
  <si>
    <t xml:space="preserve">SENI BUDAYA</t>
  </si>
  <si>
    <t>2162758659220003</t>
  </si>
  <si>
    <t xml:space="preserve">LINA AFIDATIS SALAFIYAH, S. S., S. Pd</t>
  </si>
  <si>
    <t xml:space="preserve"> SASTRA PERANCIS</t>
  </si>
  <si>
    <t xml:space="preserve">BAHASA ASING</t>
  </si>
  <si>
    <t>20542487189001</t>
  </si>
  <si>
    <t xml:space="preserve">HESTI MULYANINGSIH, SE</t>
  </si>
  <si>
    <t>SITUBONDO</t>
  </si>
  <si>
    <t>MANAJEMEN</t>
  </si>
  <si>
    <t>PUSTAKAWAN</t>
  </si>
  <si>
    <t>20542487180002</t>
  </si>
  <si>
    <t xml:space="preserve">SLAMET MARTONO, S. Pd. I</t>
  </si>
  <si>
    <t>KOTABUMI</t>
  </si>
  <si>
    <t xml:space="preserve">PENDIDIKAN AGAMA ISLAM </t>
  </si>
  <si>
    <t>ASWAJA</t>
  </si>
  <si>
    <t>20542487182001</t>
  </si>
  <si>
    <t xml:space="preserve">AGUS RIZQIANI, S.Pd. I</t>
  </si>
  <si>
    <t>MUHADATSAH</t>
  </si>
  <si>
    <t>20542487190001</t>
  </si>
  <si>
    <t xml:space="preserve">ANA ROHMATUL UMAH, S. Pd</t>
  </si>
  <si>
    <t xml:space="preserve">PENDIDIKAN BAHASA INGGRIS</t>
  </si>
  <si>
    <t>CONVERSATION</t>
  </si>
  <si>
    <t>20542487192001</t>
  </si>
  <si>
    <t xml:space="preserve">BAHRUL ULUM,S.Pd</t>
  </si>
  <si>
    <t>20542487194001</t>
  </si>
  <si>
    <t xml:space="preserve">ABU SUJAK, S. Pd</t>
  </si>
  <si>
    <t>PENJASKES</t>
  </si>
  <si>
    <t>20542487186001</t>
  </si>
  <si>
    <t xml:space="preserve">KHUSNUL KHOTIMAH</t>
  </si>
  <si>
    <t>SEJARAH</t>
  </si>
  <si>
    <t>20542487187002</t>
  </si>
  <si>
    <t xml:space="preserve">CANDRA EKO SAPUTRA,S.Pd</t>
  </si>
  <si>
    <t xml:space="preserve">SYAFIUL MUAN'AN,S.Ag</t>
  </si>
  <si>
    <t xml:space="preserve">SAMSUL HADI, S.Pd.I</t>
  </si>
  <si>
    <t xml:space="preserve">IDA KUSWATININGSIH, S.Pd</t>
  </si>
  <si>
    <t xml:space="preserve">PUNGKI WIDI UTOMO, ST</t>
  </si>
  <si>
    <t xml:space="preserve">Pendidikan Teknik Otomotif</t>
  </si>
  <si>
    <t xml:space="preserve">SYAIFUL MUAN'AN,S.Ag</t>
  </si>
  <si>
    <t xml:space="preserve">CRISTIANTI PURBA,S.Pd</t>
  </si>
  <si>
    <t xml:space="preserve">Pendidikan Jasmani,Olahraga dan Kesehatan</t>
  </si>
  <si>
    <t xml:space="preserve">AVRILAFITRIA NUR AINI</t>
  </si>
  <si>
    <t xml:space="preserve">Teknik Komputer dan Jaringan</t>
  </si>
  <si>
    <t xml:space="preserve">RISKA SULISTIANI,S.Pd</t>
  </si>
  <si>
    <t xml:space="preserve">                                                                                                                                       </t>
  </si>
  <si>
    <t xml:space="preserve">Teknologi Industri</t>
  </si>
  <si>
    <t xml:space="preserve">AURA RORO RIF'ANING AGNA, S.Pd.</t>
  </si>
  <si>
    <t xml:space="preserve">MUHAMMAD OKI MABRURI, S.Pd.</t>
  </si>
  <si>
    <t xml:space="preserve">MUHAMMAD MUHLIS ISNAINI TAUFIQILLAH, S.Pd. </t>
  </si>
  <si>
    <t xml:space="preserve">ZAINUDIN ANWAR,S.Pd.I</t>
  </si>
  <si>
    <t>WIDAYATI,S.Pd</t>
  </si>
  <si>
    <t xml:space="preserve">APRILIA NINGROOM,S.Pd</t>
  </si>
  <si>
    <t xml:space="preserve">AHMAD GHIYATSIDDIN, S.Pd.</t>
  </si>
  <si>
    <t xml:space="preserve">ISNAINI 'AZIZAH FATTA, S.Pd. </t>
  </si>
  <si>
    <t xml:space="preserve">DZURIYATUL MUKAROMAH, S.Pd.I</t>
  </si>
  <si>
    <t xml:space="preserve">Pendidikan Bahasa Arab</t>
  </si>
  <si>
    <t xml:space="preserve">ELIS RAHMAWATI, S.Pd.</t>
  </si>
  <si>
    <t xml:space="preserve">Pendidikan Ekonomi</t>
  </si>
  <si>
    <t xml:space="preserve">SHINTA ALFANI'MA NUZULITA, S.Pd</t>
  </si>
  <si>
    <t>Jombang</t>
  </si>
  <si>
    <t xml:space="preserve">RIESKA SEVENTINA, S.Pd. </t>
  </si>
  <si>
    <t xml:space="preserve">FAHLAWENI CAHYANINGRUM, S.Pd.</t>
  </si>
  <si>
    <t xml:space="preserve">PENDIDIKAN GURU SEKOLAH DASAR</t>
  </si>
  <si>
    <t>MTM</t>
  </si>
  <si>
    <t xml:space="preserve">MOHAMAD SYAHID, S.H.</t>
  </si>
  <si>
    <t>Ponorogo</t>
  </si>
  <si>
    <t>HUKUM</t>
  </si>
  <si>
    <t xml:space="preserve">ZULFA ANIFATUL CHOIRIYAH</t>
  </si>
  <si>
    <t xml:space="preserve">Pendidikan Kimia</t>
  </si>
  <si>
    <t xml:space="preserve">LUCKY AGA PRAUTAMA, S.Pd</t>
  </si>
  <si>
    <t xml:space="preserve">Pendidikan Pancasila dan Kewarganegaraan</t>
  </si>
  <si>
    <t xml:space="preserve">MITA APRILIA WIBAWATI, S.H.</t>
  </si>
  <si>
    <t xml:space="preserve">Hukum keluarga Islam</t>
  </si>
  <si>
    <t xml:space="preserve">NUR RAKHMAD DIANA, S.Ag.</t>
  </si>
  <si>
    <t xml:space="preserve">Tasawuf dan Psikoterapi</t>
  </si>
  <si>
    <t xml:space="preserve">PUTRI KUSNUL KHOTIMAH, SE</t>
  </si>
  <si>
    <t xml:space="preserve">Perbankan Syariah</t>
  </si>
  <si>
    <t xml:space="preserve">NIKEN DWI ARTES HAJARMANGU,S.Pd</t>
  </si>
  <si>
    <t xml:space="preserve">M. LUMATUL MUARIF,M.Pd.</t>
  </si>
  <si>
    <t xml:space="preserve">Oku Timur</t>
  </si>
  <si>
    <t xml:space="preserve">MANAGEMEN PENDIDIKAN  ISLAM</t>
  </si>
  <si>
    <t xml:space="preserve">MAHMUD, S.Pd</t>
  </si>
  <si>
    <t>PPKN</t>
  </si>
  <si>
    <t xml:space="preserve">HANIK THOYYIBATUL AZIZAH, S.Pd. </t>
  </si>
  <si>
    <t xml:space="preserve">ANIS FITRIA</t>
  </si>
  <si>
    <t xml:space="preserve">YUNI LIANA, S.Pd.</t>
  </si>
  <si>
    <t xml:space="preserve">HENDRA SEPTYAWAN, S.Pd</t>
  </si>
  <si>
    <t xml:space="preserve">Teknik Otomotif</t>
  </si>
  <si>
    <t xml:space="preserve">HARDIANISASI KUSUMAWATI, ST</t>
  </si>
  <si>
    <t xml:space="preserve">Teknik Kimia</t>
  </si>
  <si>
    <t xml:space="preserve">AHMAD RIFQI MUAFA,S.Pd.I</t>
  </si>
  <si>
    <t xml:space="preserve">RIA PUSPITA SARI, S.Pd.</t>
  </si>
  <si>
    <t xml:space="preserve">Administrasi Pendidikan</t>
  </si>
  <si>
    <t xml:space="preserve">MUTI'ATUN, S.Pd</t>
  </si>
  <si>
    <t xml:space="preserve">Lampung Tengah</t>
  </si>
  <si>
    <t xml:space="preserve">WAHYU MAWADATUL HABIBAH, S.Pd.</t>
  </si>
  <si>
    <t xml:space="preserve">TADRIS MATEMATIKA</t>
  </si>
  <si>
    <t xml:space="preserve">INKA AYU KHOIRUN NISA, S.Pd</t>
  </si>
  <si>
    <t xml:space="preserve">PENDIDIKAN BAHASA DAN SASTRA INDONESIA</t>
  </si>
  <si>
    <t xml:space="preserve">HARIATI KHOIROH, S.Pd.</t>
  </si>
  <si>
    <t xml:space="preserve">NAVIDA AMALIA, S.Pd.</t>
  </si>
  <si>
    <t xml:space="preserve">FAJAR SHOLAHUDDIN ,S.Pd.</t>
  </si>
  <si>
    <t xml:space="preserve">TATU' NURMALA, S.Pd.</t>
  </si>
  <si>
    <t xml:space="preserve">ZULFIANA SULHA ULUWIYA, S.Pd.</t>
  </si>
  <si>
    <t xml:space="preserve">ACHMAD FAUZI, S.Pd.</t>
  </si>
  <si>
    <t>PJOK</t>
  </si>
  <si>
    <t xml:space="preserve">WAHYU NUR AISYIAH MAULANA, S.Pd.</t>
  </si>
  <si>
    <t xml:space="preserve">MUHAMMAD ROUFUL IBAD, S.Pd.</t>
  </si>
  <si>
    <t xml:space="preserve">HAPPY RIKADIYANTO, S.T.</t>
  </si>
  <si>
    <t xml:space="preserve">TEKNIK INDUSTRI</t>
  </si>
  <si>
    <t xml:space="preserve">FIRDANIARDI YOGA LIANTO, M.Pd.</t>
  </si>
  <si>
    <t>Jakarta</t>
  </si>
  <si>
    <t xml:space="preserve">TADRIS BAHASA INGGRIS</t>
  </si>
  <si>
    <t xml:space="preserve">AFIDATUN NUR ANNISA'</t>
  </si>
  <si>
    <t xml:space="preserve">INTAN MAYANGSARI, S.Pd. </t>
  </si>
  <si>
    <t xml:space="preserve">FEBRY DWI HENDRIARTO, S.Pd.</t>
  </si>
  <si>
    <t xml:space="preserve">AHMAD BASITH SALAFUDIN, S.Ag.</t>
  </si>
  <si>
    <t xml:space="preserve">Ilmu Al - Qur'an dan Tafsir</t>
  </si>
  <si>
    <t xml:space="preserve">APRILIA  KHOIRUNISA', S.Pd.</t>
  </si>
  <si>
    <t xml:space="preserve">BACHRUL ULUMUL MUQORROBIN,S.Pd.</t>
  </si>
  <si>
    <t xml:space="preserve">EKA VERAWATI, S.Pd.</t>
  </si>
  <si>
    <t xml:space="preserve">NOVIA PRAHASTI WULANDARI, S.Pd</t>
  </si>
  <si>
    <t xml:space="preserve">PENDIDIKAN SAINS</t>
  </si>
  <si>
    <t xml:space="preserve">KURNIAWATI APRILIA RUSDIANA PUTRI, S.Pd</t>
  </si>
  <si>
    <t xml:space="preserve">KURNIANI NUZULIYA, S.PSI.</t>
  </si>
  <si>
    <t>PSIKOLOGI</t>
  </si>
  <si>
    <t xml:space="preserve">LENNY NUUROTUL MASHLIHAH, S.Pd.</t>
  </si>
  <si>
    <t xml:space="preserve">PENDIDIKAN MATEMATIKA</t>
  </si>
  <si>
    <t xml:space="preserve">ERINA RAMADHANI AYUDIN, S.Pd. </t>
  </si>
  <si>
    <t xml:space="preserve">KOT BARU</t>
  </si>
  <si>
    <t xml:space="preserve">MANAJEMEN PENDIDIKAN ISLAM</t>
  </si>
  <si>
    <t xml:space="preserve">ANANG SAHRUL MUNIR, S.Pd.</t>
  </si>
  <si>
    <t xml:space="preserve">SOEHERI UTOMO, S.Pd.</t>
  </si>
  <si>
    <t xml:space="preserve">Muara Teweh</t>
  </si>
  <si>
    <t xml:space="preserve">Pendidikan Jasmani, Kesehatan dan Rekreasi </t>
  </si>
  <si>
    <t xml:space="preserve">AHMAD SIHABUDDIN</t>
  </si>
  <si>
    <t>Tasikmalaya</t>
  </si>
  <si>
    <t xml:space="preserve">ALWI MUSTOFA</t>
  </si>
  <si>
    <t xml:space="preserve">DIYAN TRIONO</t>
  </si>
  <si>
    <t xml:space="preserve">ADMINISTRASI PERKANTORAN</t>
  </si>
  <si>
    <t xml:space="preserve">MUHAMMAD HARIS AFIFUDIN</t>
  </si>
  <si>
    <t xml:space="preserve">MUHAMMAD ULIN NUHA</t>
  </si>
  <si>
    <t>Tulungagung</t>
  </si>
  <si>
    <t xml:space="preserve">Otomatisasi dan Tata Kelola Perkantoran</t>
  </si>
  <si>
    <t xml:space="preserve">DINI AF IDATUL KHASANAH </t>
  </si>
  <si>
    <t xml:space="preserve">Kumpul Mulyo</t>
  </si>
  <si>
    <t xml:space="preserve">MUALIFATUL HIDAYAH, S.Pd.</t>
  </si>
  <si>
    <t xml:space="preserve">PENATA MUDA </t>
  </si>
  <si>
    <t xml:space="preserve">PENATA  </t>
  </si>
  <si>
    <t xml:space="preserve">IV B</t>
  </si>
  <si>
    <t xml:space="preserve">PEMBINA TK. I</t>
  </si>
  <si>
    <t xml:space="preserve">IV C</t>
  </si>
  <si>
    <t xml:space="preserve">PEMBINA UTAMA</t>
  </si>
  <si>
    <t xml:space="preserve">IV D</t>
  </si>
  <si>
    <t xml:space="preserve">PEMBINA UTAMA TK. I</t>
  </si>
  <si>
    <t xml:space="preserve">IV E</t>
  </si>
  <si>
    <t xml:space="preserve">PEMBINA UTAMA II</t>
  </si>
  <si>
    <t>TPQ</t>
  </si>
  <si>
    <t xml:space="preserve">MTM 2</t>
  </si>
  <si>
    <t xml:space="preserve">NOMOR SK</t>
  </si>
  <si>
    <t xml:space="preserve">KODE YP</t>
  </si>
  <si>
    <t xml:space="preserve">NOMOR URUT</t>
  </si>
  <si>
    <t>REGRISTRASI</t>
  </si>
  <si>
    <t>YPP.QH</t>
  </si>
  <si>
    <t>KP.00</t>
  </si>
  <si>
    <t xml:space="preserve">Pilih Nama Guru Yayasan</t>
  </si>
  <si>
    <t xml:space="preserve">BIODATA SINGKAT PERSONALIA</t>
  </si>
  <si>
    <t xml:space="preserve">Foto 3x4</t>
  </si>
  <si>
    <t xml:space="preserve">Tempat dan Tanggal Lahir</t>
  </si>
  <si>
    <t xml:space="preserve">Pendidikan terakhir / Jurusan</t>
  </si>
  <si>
    <t>Status</t>
  </si>
  <si>
    <t xml:space="preserve">TMT di Yayasan</t>
  </si>
  <si>
    <t xml:space="preserve">Satuan kerja</t>
  </si>
  <si>
    <t xml:space="preserve">TMT di SATKER</t>
  </si>
  <si>
    <t xml:space="preserve">Masa Kerja Seluruhnya</t>
  </si>
  <si>
    <t xml:space="preserve">Masa Kerja di SATKER</t>
  </si>
  <si>
    <t>Pangkat</t>
  </si>
  <si>
    <t>Golongan</t>
  </si>
  <si>
    <t xml:space="preserve">Tugas Utama Mengajar</t>
  </si>
  <si>
    <t xml:space="preserve">Jumlah beban Kerja</t>
  </si>
  <si>
    <t xml:space="preserve">JTM / Minggu</t>
  </si>
  <si>
    <t xml:space="preserve">Tugas Tambahan</t>
  </si>
  <si>
    <t xml:space="preserve">Status Sertifikasi</t>
  </si>
  <si>
    <t xml:space="preserve">Tahun Lulus</t>
  </si>
  <si>
    <t xml:space="preserve">An. Ketua Yayasan</t>
  </si>
  <si>
    <t xml:space="preserve">Kepala Bidang Personalia dan SDM</t>
  </si>
  <si>
    <t xml:space="preserve">……………………………………… </t>
  </si>
  <si>
    <t>REG</t>
  </si>
  <si>
    <t>kk</t>
  </si>
  <si>
    <t>001</t>
  </si>
  <si>
    <t>002</t>
  </si>
  <si>
    <t xml:space="preserve">PAUD Qomarul Hidayah</t>
  </si>
  <si>
    <t>003</t>
  </si>
  <si>
    <t xml:space="preserve">RA Qomarul Hidayah</t>
  </si>
  <si>
    <t>004</t>
  </si>
  <si>
    <t xml:space="preserve">MI Qomarul Hidayah</t>
  </si>
  <si>
    <t>005</t>
  </si>
  <si>
    <t>MTS</t>
  </si>
  <si>
    <t xml:space="preserve">MTs Qomarul Hidayah</t>
  </si>
  <si>
    <t>006</t>
  </si>
  <si>
    <t xml:space="preserve">MA Qomarul Hidayah</t>
  </si>
  <si>
    <t>007</t>
  </si>
  <si>
    <t xml:space="preserve">SMK Qomarul Hidayah 1 Tugu</t>
  </si>
  <si>
    <t>008</t>
  </si>
  <si>
    <t xml:space="preserve">SMK Qomarul Hidayah 2 Tugu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</si>
  <si>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</si>
  <si>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</si>
  <si>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</si>
  <si>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</si>
  <si>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</si>
  <si>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</si>
  <si>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</si>
  <si>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</si>
  <si>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</si>
  <si>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</si>
  <si>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</si>
  <si>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</si>
  <si>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</si>
  <si>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</si>
  <si>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</si>
  <si>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</si>
  <si>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</si>
  <si>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</si>
  <si>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</si>
  <si>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</si>
  <si>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</si>
  <si>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</si>
  <si>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</si>
  <si>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</si>
  <si>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</si>
  <si>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</si>
  <si>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</si>
  <si>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</si>
  <si>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</si>
  <si>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</si>
  <si>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</si>
  <si>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</si>
  <si>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</si>
  <si>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</si>
  <si>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</si>
  <si>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</si>
  <si>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</si>
  <si>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</si>
  <si>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</si>
  <si>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</si>
  <si>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</si>
  <si>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</si>
  <si>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</si>
  <si>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</si>
  <si>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</si>
  <si>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</si>
  <si>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</si>
  <si>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</si>
  <si>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</si>
  <si>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</si>
  <si>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</si>
  <si>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</si>
  <si>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</si>
  <si>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</si>
  <si>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</si>
  <si>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</si>
  <si>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</si>
  <si>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</si>
  <si>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</si>
  <si>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</si>
  <si>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</si>
  <si>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</si>
  <si>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</si>
  <si>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</si>
  <si>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</si>
  <si>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</si>
  <si>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</si>
  <si>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</si>
  <si>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</si>
  <si>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</si>
  <si>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</si>
  <si>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</si>
  <si>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</si>
  <si>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</si>
  <si>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</si>
  <si>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</si>
  <si>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</si>
  <si>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</si>
  <si>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</si>
  <si>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</si>
  <si>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</si>
  <si>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</si>
  <si>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</si>
  <si>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</si>
  <si>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</si>
  <si>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</si>
  <si>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</si>
  <si>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</si>
  <si>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</si>
  <si>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</si>
  <si>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</si>
  <si>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</si>
  <si>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</si>
  <si>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</si>
  <si>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</si>
  <si>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</si>
  <si>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</si>
  <si>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</si>
  <si>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</si>
  <si>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</si>
  <si>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</si>
  <si>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</si>
  <si>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</si>
  <si>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</si>
  <si>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</si>
  <si>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</si>
  <si>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</si>
  <si>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</si>
  <si>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</si>
  <si>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</si>
  <si>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</si>
  <si>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</si>
  <si>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</si>
  <si>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</si>
  <si>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</si>
  <si>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</si>
  <si>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</si>
  <si>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</si>
  <si>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</si>
  <si>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</si>
  <si>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</si>
  <si>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</si>
  <si>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</si>
  <si>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</si>
  <si>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</si>
  <si>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</si>
  <si>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</si>
  <si>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</si>
  <si>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</si>
  <si>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</si>
  <si>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</si>
  <si>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</si>
  <si>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</si>
  <si>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</si>
  <si>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</si>
  <si>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</si>
  <si>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</si>
  <si>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</si>
  <si>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</si>
  <si>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</si>
  <si>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</si>
  <si>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</si>
  <si>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</si>
  <si>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</si>
  <si>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</si>
  <si>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</si>
  <si>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</si>
  <si>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</si>
  <si>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</si>
  <si>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</si>
  <si>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</si>
  <si>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</si>
  <si>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</si>
  <si>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</si>
  <si>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</si>
  <si>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</si>
  <si>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</si>
  <si>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</si>
  <si>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</si>
  <si>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</si>
  <si>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</si>
  <si>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</si>
  <si>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</si>
  <si>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</si>
  <si>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</si>
  <si>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</si>
  <si>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 xml:space="preserve">YAYASAN PONDOK PESANTREN QOMARUL HIDAYAH</t>
  </si>
  <si>
    <t xml:space="preserve">Klik tanda panah kebawah dan cari nama tendik yang akan dicetak SK nya</t>
  </si>
  <si>
    <t xml:space="preserve">SK MENKUMHAM RI NOMOR: C-598.HT.03.01-2014</t>
  </si>
  <si>
    <t xml:space="preserve">SURAT KEPUTUSAN</t>
  </si>
  <si>
    <t xml:space="preserve">GONDANG TUGU TRENGGALEK</t>
  </si>
  <si>
    <t xml:space="preserve">Nomor :</t>
  </si>
  <si>
    <t xml:space="preserve">Yayasan Pondok Pesantren Qomarul Hidayah :</t>
  </si>
  <si>
    <t>Mengingat</t>
  </si>
  <si>
    <t xml:space="preserve">Bahwa untuk mencukupi Tenaga Pengajar / Tenaga Administrasi pada Yayasan Pondok Pesantren Qomarul Hidayah Tugu Trenggalek perlu mengangkat Guru dan tenaga Kependidikan</t>
  </si>
  <si>
    <t>Menimbang</t>
  </si>
  <si>
    <t xml:space="preserve">:1 .</t>
  </si>
  <si>
    <t xml:space="preserve">Undang - undang Nomor 16 tahun 2001 tentang Yayasan</t>
  </si>
  <si>
    <t xml:space="preserve">2 .</t>
  </si>
  <si>
    <t xml:space="preserve">Undang - undang nomor 17 tahun 2013 tentang organisasi kemasyarakatan</t>
  </si>
  <si>
    <t xml:space="preserve">3 .</t>
  </si>
  <si>
    <t xml:space="preserve">Surat Keputusan Menteri Pendidikan dan Kebudayaan Republik Indonesia No.0374/U/1982 tanggal 22 Nopember 1982, tentang Pembinaan Sekolah Swasta</t>
  </si>
  <si>
    <t xml:space="preserve">4 .</t>
  </si>
  <si>
    <t xml:space="preserve">Undang-Undang Nomor 20 Tahun 2003 tentang sistem Pendidikan Nasional</t>
  </si>
  <si>
    <t>Memperhatikan</t>
  </si>
  <si>
    <t xml:space="preserve">Peraturan Menteri Negara Pendayagunaan Aparatur Negara dan Reformasi Birokrasi Nomor PER/16/M.PAN-RB/11/2009 tanggal 10 November 2009 Tentang Jabatan Fungsional Guru dan Angka Kreditnya.</t>
  </si>
  <si>
    <t>MEMUTUSKAN</t>
  </si>
  <si>
    <t xml:space="preserve">Menetapkan </t>
  </si>
  <si>
    <t>Pertama</t>
  </si>
  <si>
    <t xml:space="preserve">: </t>
  </si>
  <si>
    <t xml:space="preserve">Terhitung Mulai tanggal   </t>
  </si>
  <si>
    <t xml:space="preserve">mengangkat :</t>
  </si>
  <si>
    <t>Nama</t>
  </si>
  <si>
    <t xml:space="preserve">19911002 202202 06 01 20</t>
  </si>
  <si>
    <t xml:space="preserve">Tempat/Tanggal lahir</t>
  </si>
  <si>
    <t xml:space="preserve">Pendidikan/Jurusan </t>
  </si>
  <si>
    <t xml:space="preserve">Di angkat kembali sebagai </t>
  </si>
  <si>
    <t xml:space="preserve">Satuan Kerja</t>
  </si>
  <si>
    <t xml:space="preserve">SMK Qomarul Hidayah 1</t>
  </si>
  <si>
    <t xml:space="preserve">TMT diangkat Tendik</t>
  </si>
  <si>
    <t xml:space="preserve">TMT di Satker</t>
  </si>
  <si>
    <t xml:space="preserve">Masa kerja seluruhnya</t>
  </si>
  <si>
    <t>Kedua</t>
  </si>
  <si>
    <t xml:space="preserve">Yang bersangkutan diberikan honorarium sesuai ketentuan Yayasan Pondok Pesantren Qomarul Hidayah.</t>
  </si>
  <si>
    <t>Ketiga</t>
  </si>
  <si>
    <t xml:space="preserve">Surat Keputusan ini berlaku sejak tanggal ditetapkan sampai akhir tahun pelajaran berikutnya dan apabila dikemudian terdapat kekeliruan akan diadakan perbaikan sebagaimana mestinya.</t>
  </si>
  <si>
    <t>Keempat</t>
  </si>
  <si>
    <t xml:space="preserve">Asli Surat Keputusan ini diberikan kepada yang bersangkutan untuk dipergunakan sebagaimana mestinya. </t>
  </si>
  <si>
    <t xml:space="preserve">Ditetapkan di</t>
  </si>
  <si>
    <t xml:space="preserve">Pada Tanggal</t>
  </si>
  <si>
    <t xml:space="preserve">Ketua Yayasan</t>
  </si>
  <si>
    <t/>
  </si>
  <si>
    <t xml:space="preserve">Hj. ZUMROTUN NASIHAH</t>
  </si>
  <si>
    <t xml:space="preserve">1. Kepala Kantor Kementerian Agama Kab. Trenggalek</t>
  </si>
  <si>
    <t xml:space="preserve">Tembusan disampaikan kepada :</t>
  </si>
  <si>
    <t xml:space="preserve">1. Kepala Dinas Pendidikan Pemuda dan Olah Raga Kab. Trenggalek</t>
  </si>
  <si>
    <t xml:space="preserve">2. Sdr. Kepala Bidang Keuangan YPP. Qomarul Hidayah Tugu Trenggalek</t>
  </si>
  <si>
    <t xml:space="preserve">3. Sdr. Kepala Bidang Personalia dan SDM YPP. Qomarul Hidayah</t>
  </si>
  <si>
    <t xml:space="preserve">4. Sdr. Kepala Satuan Kerja</t>
  </si>
  <si>
    <t xml:space="preserve">5. Arsip  </t>
  </si>
  <si>
    <t>Reg.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</si>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</sst>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55">
    <font>
      <sz val="11.000000"/>
      <color theme="1"/>
      <name val="Calibri"/>
      <scheme val="minor"/>
    </font>
    <font>
      <b/>
      <sz val="18.000000"/>
      <color theme="1"/>
      <name val="Arial"/>
    </font>
    <font>
      <b/>
      <sz val="18.000000"/>
      <color theme="1"/>
      <name val="Arial Unicode MS"/>
    </font>
    <font>
      <sz val="12.000000"/>
      <color theme="1"/>
      <name val="Arial"/>
    </font>
    <font>
      <sz val="10.000000"/>
      <color theme="1"/>
      <name val="Arial"/>
    </font>
    <font>
      <sz val="12.000000"/>
      <color theme="1"/>
      <name val="Times New Roman"/>
    </font>
    <font>
      <b/>
      <sz val="12.000000"/>
      <color theme="1"/>
      <name val="Arial"/>
    </font>
    <font>
      <sz val="14.000000"/>
      <color theme="1"/>
      <name val="Arial"/>
    </font>
    <font>
      <b/>
      <sz val="14.000000"/>
      <color theme="1"/>
      <name val="Arial"/>
    </font>
    <font>
      <b/>
      <sz val="12.000000"/>
      <color theme="1"/>
      <name val="Bookman Old Style"/>
    </font>
    <font>
      <sz val="12.000000"/>
      <color theme="0"/>
      <name val="Arial"/>
    </font>
    <font>
      <u/>
      <sz val="12.000000"/>
      <color theme="1"/>
      <name val="Arial"/>
    </font>
    <font>
      <sz val="12.000000"/>
      <name val="Arial"/>
    </font>
    <font>
      <sz val="11.000000"/>
      <color indexed="2"/>
      <name val="Arial Narrow"/>
    </font>
    <font>
      <sz val="11.000000"/>
      <color theme="1"/>
      <name val="Arial Narrow"/>
    </font>
    <font>
      <sz val="14.000000"/>
      <color theme="1"/>
      <name val="Arial Narrow"/>
    </font>
    <font>
      <sz val="10.000000"/>
      <color theme="1"/>
      <name val="Arial Narrow"/>
    </font>
    <font>
      <b/>
      <sz val="11.000000"/>
      <color theme="0"/>
      <name val="Arial Narrow"/>
    </font>
    <font>
      <b/>
      <sz val="11.000000"/>
      <color theme="1"/>
      <name val="Arial Narrow"/>
    </font>
    <font>
      <b/>
      <sz val="12.000000"/>
      <color theme="1"/>
      <name val="Arial Narrow"/>
    </font>
    <font>
      <sz val="11.000000"/>
      <color rgb="FF00B0F0"/>
      <name val="Arial Narrow"/>
    </font>
    <font>
      <b/>
      <sz val="10.000000"/>
      <name val="Arial Narrow"/>
    </font>
    <font>
      <b/>
      <sz val="14.000000"/>
      <name val="Arial Narrow"/>
    </font>
    <font>
      <sz val="10.000000"/>
      <name val="Arial Narrow"/>
    </font>
    <font>
      <b/>
      <sz val="12.000000"/>
      <color indexed="2"/>
      <name val="Arial Narrow"/>
    </font>
    <font>
      <b/>
      <sz val="14.000000"/>
      <color theme="1"/>
      <name val="Arial Narrow"/>
    </font>
    <font>
      <b/>
      <sz val="10.000000"/>
      <color theme="1"/>
      <name val="Arial Narrow"/>
    </font>
    <font>
      <b/>
      <sz val="10.000000"/>
      <color indexed="2"/>
      <name val="Arial Narrow"/>
    </font>
    <font>
      <b/>
      <sz val="12.000000"/>
      <name val="Arial Narrow"/>
    </font>
    <font>
      <sz val="8.000000"/>
      <name val="Arial Narrow"/>
    </font>
    <font>
      <b/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6.000000"/>
      <color theme="1"/>
      <name val="Arial"/>
    </font>
    <font>
      <b/>
      <sz val="10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0.000000"/>
      <color theme="0"/>
      <name val="Arial"/>
    </font>
    <font>
      <b/>
      <sz val="18.000000"/>
      <color theme="1"/>
      <name val="Maiandra GD"/>
    </font>
    <font>
      <b/>
      <sz val="13.000000"/>
      <color theme="1"/>
      <name val="Arial"/>
    </font>
    <font>
      <sz val="10.000000"/>
      <color theme="1"/>
      <name val="Arial Unicode MS"/>
    </font>
    <font>
      <sz val="6.000000"/>
      <color theme="1"/>
      <name val="Times New Roman"/>
    </font>
    <font>
      <b/>
      <i/>
      <sz val="11.000000"/>
      <color theme="1"/>
      <name val="Calibri"/>
    </font>
    <font>
      <sz val="12.000000"/>
      <color theme="1"/>
      <name val="Arial Unicode MS"/>
    </font>
    <font>
      <sz val="11.000000"/>
      <color theme="1"/>
      <name val="Arial"/>
    </font>
    <font>
      <b/>
      <sz val="11.000000"/>
      <color theme="1"/>
      <name val="Arial"/>
    </font>
    <font>
      <b/>
      <sz val="12.000000"/>
      <color theme="1"/>
      <name val="Calibri"/>
      <scheme val="minor"/>
    </font>
    <font>
      <sz val="12.000000"/>
      <color theme="1"/>
      <name val="Arial Narrow"/>
    </font>
    <font>
      <sz val="11.000000"/>
      <color theme="1"/>
      <name val="Cambria"/>
      <scheme val="major"/>
    </font>
    <font>
      <sz val="12.000000"/>
      <color theme="1"/>
      <name val="Cambria"/>
      <scheme val="major"/>
    </font>
    <font>
      <sz val="12.000000"/>
      <color theme="1"/>
      <name val="Calibri"/>
      <scheme val="minor"/>
    </font>
    <font>
      <u/>
      <sz val="11.000000"/>
      <color theme="1"/>
      <name val="Arial"/>
    </font>
    <font>
      <b/>
      <u/>
      <sz val="12.000000"/>
      <color theme="1"/>
      <name val="Arial"/>
    </font>
    <font>
      <i/>
      <sz val="12.000000"/>
      <color theme="1"/>
      <name val="Arial"/>
    </font>
    <font>
      <b/>
      <sz val="12.000000"/>
      <color theme="1"/>
      <name val="Batang"/>
    </font>
    <font>
      <b/>
      <sz val="12.000000"/>
      <color theme="1"/>
      <name val="Cambria"/>
      <scheme val="major"/>
    </font>
    <font>
      <sz val="11.000000"/>
      <color theme="1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theme="9" tint="0.39997558519241921"/>
      </patternFill>
    </fill>
    <fill>
      <patternFill patternType="solid">
        <fgColor rgb="FF00B0F0"/>
      </patternFill>
    </fill>
    <fill>
      <patternFill patternType="solid">
        <fgColor rgb="FF002060"/>
      </patternFill>
    </fill>
    <fill>
      <patternFill patternType="solid">
        <fgColor theme="9" tint="0.59999389629810485"/>
      </patternFill>
    </fill>
    <fill>
      <patternFill patternType="solid">
        <fgColor rgb="FF66FF33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indexed="3"/>
      </patternFill>
    </fill>
    <fill>
      <patternFill patternType="solid">
        <fgColor theme="9" tint="-0.249977111117893"/>
      </patternFill>
    </fill>
    <fill>
      <patternFill patternType="solid">
        <fgColor indexed="2"/>
      </patternFill>
    </fill>
  </fills>
  <borders count="2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double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double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double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double">
        <color auto="1"/>
      </bottom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none"/>
      <right style="thin">
        <color auto="1"/>
      </right>
      <top style="none"/>
      <bottom style="double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 style="none"/>
    </border>
    <border>
      <left style="double">
        <color rgb="FF0070C0"/>
      </left>
      <right style="double">
        <color rgb="FF0070C0"/>
      </right>
      <top style="none"/>
      <bottom style="double">
        <color rgb="FF0070C0"/>
      </bottom>
      <diagonal style="none"/>
    </border>
  </borders>
  <cellStyleXfs count="6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326">
    <xf fontId="0" fillId="0" borderId="0" numFmtId="0" xfId="0"/>
    <xf fontId="0" fillId="0" borderId="0" numFmtId="0" xfId="0" applyAlignment="1" applyProtection="1">
      <alignment horizontal="left"/>
      <protection hidden="1"/>
    </xf>
    <xf fontId="1" fillId="0" borderId="0" numFmtId="0" xfId="0" applyFont="1" applyAlignment="1" applyProtection="1">
      <alignment horizontal="center"/>
      <protection hidden="1"/>
    </xf>
    <xf fontId="2" fillId="0" borderId="0" numFmtId="0" xfId="0" applyFont="1" applyAlignment="1" applyProtection="1">
      <alignment horizontal="center"/>
      <protection hidden="1"/>
    </xf>
    <xf fontId="3" fillId="0" borderId="0" numFmtId="0" xfId="0" applyFont="1" applyAlignment="1" applyProtection="1">
      <alignment horizontal="center"/>
      <protection hidden="1"/>
    </xf>
    <xf fontId="4" fillId="0" borderId="0" numFmtId="0" xfId="0" applyFont="1" applyAlignment="1" applyProtection="1">
      <alignment horizontal="center"/>
      <protection hidden="1"/>
    </xf>
    <xf fontId="5" fillId="0" borderId="0" numFmtId="0" xfId="0" applyFont="1" applyProtection="1">
      <protection hidden="1"/>
    </xf>
    <xf fontId="5" fillId="2" borderId="0" numFmtId="0" xfId="0" applyFont="1" applyFill="1" applyProtection="1">
      <protection hidden="1"/>
    </xf>
    <xf fontId="3" fillId="0" borderId="0" numFmtId="0" xfId="0" applyFont="1" applyAlignment="1" applyProtection="1">
      <alignment vertical="center"/>
      <protection hidden="1"/>
    </xf>
    <xf fontId="3" fillId="0" borderId="0" numFmtId="49" xfId="0" applyNumberFormat="1" applyFont="1" applyAlignment="1" applyProtection="1">
      <alignment horizontal="center" vertical="center"/>
      <protection hidden="1"/>
    </xf>
    <xf fontId="3" fillId="0" borderId="0" numFmtId="0" xfId="0" applyFont="1" applyAlignment="1" applyProtection="1">
      <alignment horizontal="left" vertical="center"/>
      <protection hidden="1"/>
    </xf>
    <xf fontId="6" fillId="0" borderId="0" numFmtId="0" xfId="0" applyFont="1" applyAlignment="1" applyProtection="1">
      <alignment horizontal="left" vertical="center"/>
      <protection hidden="1"/>
    </xf>
    <xf fontId="3" fillId="3" borderId="0" numFmtId="0" xfId="0" applyFont="1" applyFill="1" applyAlignment="1" applyProtection="1">
      <alignment vertical="center"/>
      <protection hidden="1"/>
    </xf>
    <xf fontId="7" fillId="0" borderId="0" numFmtId="0" xfId="0" applyFont="1" applyAlignment="1" applyProtection="1">
      <alignment vertical="center"/>
      <protection hidden="1"/>
    </xf>
    <xf fontId="8" fillId="0" borderId="0" numFmtId="0" xfId="0" applyFont="1" applyAlignment="1" applyProtection="1">
      <alignment horizontal="center" vertical="center"/>
      <protection hidden="1"/>
    </xf>
    <xf fontId="3" fillId="0" borderId="1" numFmtId="0" xfId="0" applyFont="1" applyBorder="1" applyAlignment="1" applyProtection="1">
      <alignment vertical="center"/>
      <protection locked="0"/>
    </xf>
    <xf fontId="3" fillId="0" borderId="2" numFmtId="0" xfId="0" applyFont="1" applyBorder="1" applyAlignment="1" applyProtection="1">
      <alignment vertical="center"/>
      <protection hidden="1"/>
    </xf>
    <xf fontId="3" fillId="0" borderId="3" numFmtId="0" xfId="0" applyFont="1" applyBorder="1" applyAlignment="1" applyProtection="1">
      <alignment vertical="center"/>
      <protection hidden="1"/>
    </xf>
    <xf fontId="3" fillId="0" borderId="0" numFmtId="0" xfId="0" applyFont="1" applyAlignment="1" applyProtection="1" quotePrefix="1">
      <alignment vertical="center"/>
      <protection hidden="1"/>
    </xf>
    <xf fontId="3" fillId="0" borderId="0" numFmtId="0" xfId="0" applyFont="1" applyAlignment="1" applyProtection="1">
      <alignment horizontal="center" vertical="center"/>
      <protection hidden="1"/>
    </xf>
    <xf fontId="3" fillId="0" borderId="2" numFmtId="0" xfId="0" applyFont="1" applyBorder="1" applyAlignment="1" applyProtection="1">
      <alignment horizontal="center" vertical="center"/>
      <protection hidden="1"/>
    </xf>
    <xf fontId="3" fillId="0" borderId="3" numFmtId="0" xfId="0" applyFont="1" applyBorder="1" applyAlignment="1" applyProtection="1">
      <alignment horizontal="center" vertical="center"/>
      <protection hidden="1"/>
    </xf>
    <xf fontId="6" fillId="0" borderId="1" numFmtId="0" xfId="0" applyFont="1" applyBorder="1" applyAlignment="1" applyProtection="1">
      <alignment horizontal="center" vertical="center"/>
      <protection hidden="1"/>
    </xf>
    <xf fontId="3" fillId="0" borderId="1" numFmtId="0" xfId="0" applyFont="1" applyBorder="1" applyAlignment="1" applyProtection="1">
      <alignment vertical="center"/>
      <protection hidden="1"/>
    </xf>
    <xf fontId="3" fillId="0" borderId="0" numFmtId="0" xfId="0" applyFont="1" applyAlignment="1" applyProtection="1">
      <alignment horizontal="left" vertical="center"/>
      <protection locked="0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 applyProtection="1">
      <alignment horizontal="center" vertical="center"/>
      <protection hidden="1"/>
    </xf>
    <xf fontId="6" fillId="0" borderId="0" numFmtId="0" xfId="0" applyFont="1" applyAlignment="1" applyProtection="1">
      <alignment horizontal="left"/>
      <protection locked="0"/>
    </xf>
    <xf fontId="6" fillId="0" borderId="0" numFmtId="0" xfId="0" applyFont="1" applyAlignment="1" applyProtection="1">
      <alignment horizontal="left"/>
      <protection hidden="1"/>
    </xf>
    <xf fontId="3" fillId="0" borderId="0" numFmtId="0" xfId="0" applyFont="1" applyAlignment="1" applyProtection="1">
      <alignment horizontal="left"/>
      <protection hidden="1"/>
    </xf>
    <xf fontId="3" fillId="0" borderId="3" numFmtId="0" xfId="0" applyFont="1" applyBorder="1" applyAlignment="1" applyProtection="1">
      <alignment horizontal="left" vertical="center"/>
      <protection hidden="1"/>
    </xf>
    <xf fontId="3" fillId="0" borderId="0" numFmtId="0" xfId="0" applyFont="1" applyAlignment="1" applyProtection="1">
      <alignment vertical="center"/>
      <protection locked="0"/>
    </xf>
    <xf fontId="6" fillId="0" borderId="0" numFmtId="0" xfId="0" applyFont="1" applyAlignment="1" applyProtection="1">
      <alignment vertical="center"/>
      <protection hidden="1"/>
    </xf>
    <xf fontId="3" fillId="0" borderId="1" numFmtId="0" xfId="0" applyFont="1" applyBorder="1" applyProtection="1">
      <protection locked="0"/>
    </xf>
    <xf fontId="6" fillId="0" borderId="1" numFmtId="0" xfId="0" applyFont="1" applyBorder="1" applyAlignment="1" applyProtection="1">
      <alignment horizontal="left"/>
      <protection locked="0"/>
    </xf>
    <xf fontId="3" fillId="0" borderId="4" numFmtId="0" xfId="0" applyFont="1" applyBorder="1" applyAlignment="1" applyProtection="1">
      <alignment horizontal="center" vertical="center"/>
      <protection locked="0"/>
    </xf>
    <xf fontId="3" fillId="0" borderId="5" numFmtId="0" xfId="0" applyFont="1" applyBorder="1" applyAlignment="1" applyProtection="1">
      <alignment horizontal="center" vertical="center"/>
      <protection locked="0"/>
    </xf>
    <xf fontId="3" fillId="0" borderId="6" numFmtId="0" xfId="0" applyFont="1" applyBorder="1" applyAlignment="1" applyProtection="1">
      <alignment horizontal="center" vertical="center"/>
      <protection locked="0"/>
    </xf>
    <xf fontId="3" fillId="0" borderId="0" numFmtId="0" xfId="0" applyFont="1" applyProtection="1">
      <protection hidden="1"/>
    </xf>
    <xf fontId="3" fillId="0" borderId="1" numFmtId="0" xfId="0" applyFont="1" applyBorder="1" applyAlignment="1" applyProtection="1">
      <alignment horizontal="left" vertical="center"/>
      <protection locked="0"/>
    </xf>
    <xf fontId="3" fillId="0" borderId="3" numFmtId="0" xfId="0" applyFont="1" applyBorder="1" applyAlignment="1" applyProtection="1">
      <alignment horizontal="right" vertical="center"/>
      <protection hidden="1"/>
    </xf>
    <xf fontId="3" fillId="0" borderId="0" numFmtId="0" xfId="0" applyFont="1" applyAlignment="1" applyProtection="1">
      <alignment horizontal="right" vertical="center"/>
      <protection hidden="1"/>
    </xf>
    <xf fontId="9" fillId="0" borderId="7" numFmtId="49" xfId="0" applyNumberFormat="1" applyFont="1" applyBorder="1" applyAlignment="1" applyProtection="1">
      <alignment horizontal="center" vertical="center"/>
      <protection hidden="1"/>
    </xf>
    <xf fontId="9" fillId="0" borderId="7" numFmtId="0" xfId="0" applyFont="1" applyBorder="1" applyAlignment="1" applyProtection="1">
      <alignment horizontal="center" vertical="center"/>
      <protection hidden="1"/>
    </xf>
    <xf fontId="3" fillId="0" borderId="8" numFmtId="49" xfId="0" applyNumberFormat="1" applyFont="1" applyBorder="1" applyAlignment="1" applyProtection="1">
      <alignment horizontal="center" vertical="center"/>
      <protection hidden="1"/>
    </xf>
    <xf fontId="3" fillId="0" borderId="8" numFmtId="49" xfId="0" applyNumberFormat="1" applyFont="1" applyBorder="1" applyAlignment="1" applyProtection="1">
      <alignment horizontal="center" vertical="center"/>
      <protection locked="0"/>
    </xf>
    <xf fontId="3" fillId="0" borderId="8" numFmtId="0" xfId="0" applyFont="1" applyBorder="1" applyAlignment="1" applyProtection="1">
      <alignment horizontal="center" vertical="center"/>
      <protection locked="0"/>
    </xf>
    <xf fontId="3" fillId="0" borderId="1" numFmtId="49" xfId="0" applyNumberFormat="1" applyFont="1" applyBorder="1" applyAlignment="1" applyProtection="1">
      <alignment horizontal="center" vertical="center"/>
      <protection hidden="1"/>
    </xf>
    <xf fontId="3" fillId="0" borderId="1" numFmtId="49" xfId="0" applyNumberFormat="1" applyFont="1" applyBorder="1" applyAlignment="1" applyProtection="1">
      <alignment horizontal="center" vertical="center"/>
      <protection locked="0"/>
    </xf>
    <xf fontId="3" fillId="0" borderId="1" numFmtId="0" xfId="0" applyFont="1" applyBorder="1" applyAlignment="1" applyProtection="1">
      <alignment horizontal="center" vertical="center"/>
      <protection locked="0"/>
    </xf>
    <xf fontId="9" fillId="0" borderId="9" numFmtId="49" xfId="0" applyNumberFormat="1" applyFont="1" applyBorder="1" applyAlignment="1" applyProtection="1">
      <alignment horizontal="center" vertical="center"/>
      <protection hidden="1"/>
    </xf>
    <xf fontId="9" fillId="0" borderId="1" numFmtId="49" xfId="0" applyNumberFormat="1" applyFont="1" applyBorder="1" applyAlignment="1" applyProtection="1">
      <alignment horizontal="center" vertical="center" wrapText="1"/>
      <protection hidden="1"/>
    </xf>
    <xf fontId="9" fillId="0" borderId="1" numFmtId="0" xfId="0" applyFont="1" applyBorder="1" applyAlignment="1" applyProtection="1">
      <alignment horizontal="center" vertical="center" wrapText="1"/>
      <protection hidden="1"/>
    </xf>
    <xf fontId="9" fillId="0" borderId="10" numFmtId="49" xfId="0" applyNumberFormat="1" applyFont="1" applyBorder="1" applyAlignment="1" applyProtection="1">
      <alignment horizontal="center" vertical="center"/>
      <protection hidden="1"/>
    </xf>
    <xf fontId="9" fillId="0" borderId="11" numFmtId="49" xfId="0" applyNumberFormat="1" applyFont="1" applyBorder="1" applyAlignment="1" applyProtection="1">
      <alignment horizontal="center" vertical="center" wrapText="1"/>
      <protection hidden="1"/>
    </xf>
    <xf fontId="9" fillId="0" borderId="12" numFmtId="49" xfId="0" applyNumberFormat="1" applyFont="1" applyBorder="1" applyAlignment="1" applyProtection="1">
      <alignment horizontal="center" vertical="center" wrapText="1"/>
      <protection hidden="1"/>
    </xf>
    <xf fontId="9" fillId="0" borderId="13" numFmtId="49" xfId="0" applyNumberFormat="1" applyFont="1" applyBorder="1" applyAlignment="1" applyProtection="1">
      <alignment horizontal="center" vertical="center" wrapText="1"/>
      <protection hidden="1"/>
    </xf>
    <xf fontId="9" fillId="0" borderId="7" numFmtId="49" xfId="0" applyNumberFormat="1" applyFont="1" applyBorder="1" applyAlignment="1" applyProtection="1">
      <alignment horizontal="center" vertical="center" wrapText="1"/>
      <protection hidden="1"/>
    </xf>
    <xf fontId="9" fillId="0" borderId="7" numFmtId="0" xfId="0" applyFont="1" applyBorder="1" applyAlignment="1" applyProtection="1">
      <alignment horizontal="center" vertical="center" wrapText="1"/>
      <protection hidden="1"/>
    </xf>
    <xf fontId="3" fillId="0" borderId="14" numFmtId="49" xfId="0" applyNumberFormat="1" applyFont="1" applyBorder="1" applyAlignment="1" applyProtection="1">
      <alignment horizontal="center" vertical="center"/>
      <protection hidden="1"/>
    </xf>
    <xf fontId="9" fillId="0" borderId="8" numFmtId="49" xfId="0" applyNumberFormat="1" applyFont="1" applyBorder="1" applyAlignment="1" applyProtection="1">
      <alignment horizontal="center" vertical="center" wrapText="1"/>
      <protection locked="0"/>
    </xf>
    <xf fontId="3" fillId="0" borderId="14" numFmtId="0" xfId="0" applyFont="1" applyBorder="1" applyAlignment="1" applyProtection="1">
      <alignment horizontal="center" vertical="center"/>
      <protection locked="0"/>
    </xf>
    <xf fontId="3" fillId="0" borderId="15" numFmtId="0" xfId="0" applyFont="1" applyBorder="1" applyAlignment="1" applyProtection="1">
      <alignment horizontal="center" vertical="center"/>
      <protection locked="0"/>
    </xf>
    <xf fontId="9" fillId="0" borderId="8" numFmtId="0" xfId="0" applyFont="1" applyBorder="1" applyAlignment="1" applyProtection="1">
      <alignment horizontal="center" vertical="center" wrapText="1"/>
      <protection locked="0"/>
    </xf>
    <xf fontId="9" fillId="0" borderId="1" numFmtId="49" xfId="0" applyNumberFormat="1" applyFont="1" applyBorder="1" applyAlignment="1" applyProtection="1">
      <alignment horizontal="center" vertical="center" wrapText="1"/>
      <protection locked="0"/>
    </xf>
    <xf fontId="9" fillId="0" borderId="1" numFmtId="0" xfId="0" applyFont="1" applyBorder="1" applyAlignment="1" applyProtection="1">
      <alignment horizontal="center" vertical="center" wrapText="1"/>
      <protection locked="0"/>
    </xf>
    <xf fontId="3" fillId="0" borderId="4" numFmtId="49" xfId="0" applyNumberFormat="1" applyFont="1" applyBorder="1" applyAlignment="1" applyProtection="1">
      <alignment horizontal="center" vertical="center"/>
      <protection hidden="1"/>
    </xf>
    <xf fontId="9" fillId="0" borderId="0" numFmtId="49" xfId="0" applyNumberFormat="1" applyFont="1" applyAlignment="1" applyProtection="1">
      <alignment horizontal="center" vertical="center" wrapText="1"/>
      <protection hidden="1"/>
    </xf>
    <xf fontId="9" fillId="0" borderId="0" numFmtId="0" xfId="0" applyFont="1" applyAlignment="1" applyProtection="1">
      <alignment horizontal="center" vertical="center" wrapText="1"/>
      <protection hidden="1"/>
    </xf>
    <xf fontId="3" fillId="0" borderId="14" numFmtId="49" xfId="0" applyNumberFormat="1" applyFont="1" applyBorder="1" applyAlignment="1" applyProtection="1">
      <alignment horizontal="left" vertical="center"/>
      <protection hidden="1"/>
    </xf>
    <xf fontId="3" fillId="0" borderId="15" numFmtId="49" xfId="0" applyNumberFormat="1" applyFont="1" applyBorder="1" applyAlignment="1" applyProtection="1">
      <alignment horizontal="left" vertical="center"/>
      <protection hidden="1"/>
    </xf>
    <xf fontId="6" fillId="0" borderId="15" numFmtId="0" xfId="0" applyFont="1" applyBorder="1" applyAlignment="1" applyProtection="1">
      <alignment horizontal="left" vertical="center"/>
      <protection locked="0"/>
    </xf>
    <xf fontId="6" fillId="0" borderId="16" numFmtId="0" xfId="0" applyFont="1" applyBorder="1" applyAlignment="1" applyProtection="1">
      <alignment horizontal="left" vertical="center"/>
      <protection locked="0"/>
    </xf>
    <xf fontId="3" fillId="0" borderId="4" numFmtId="49" xfId="0" applyNumberFormat="1" applyFont="1" applyBorder="1" applyAlignment="1" applyProtection="1">
      <alignment horizontal="left" vertical="center"/>
      <protection hidden="1"/>
    </xf>
    <xf fontId="3" fillId="0" borderId="5" numFmtId="49" xfId="0" applyNumberFormat="1" applyFont="1" applyBorder="1" applyAlignment="1" applyProtection="1">
      <alignment horizontal="left" vertical="center"/>
      <protection hidden="1"/>
    </xf>
    <xf fontId="6" fillId="0" borderId="5" numFmtId="0" xfId="0" applyFont="1" applyBorder="1" applyAlignment="1" applyProtection="1">
      <alignment horizontal="left" vertical="center"/>
      <protection locked="0"/>
    </xf>
    <xf fontId="6" fillId="0" borderId="6" numFmtId="0" xfId="0" applyFont="1" applyBorder="1" applyAlignment="1" applyProtection="1">
      <alignment horizontal="left" vertical="center"/>
      <protection locked="0"/>
    </xf>
    <xf fontId="9" fillId="0" borderId="17" numFmtId="49" xfId="0" applyNumberFormat="1" applyFont="1" applyBorder="1" applyAlignment="1" applyProtection="1">
      <alignment horizontal="center" vertical="center"/>
      <protection hidden="1"/>
    </xf>
    <xf fontId="9" fillId="0" borderId="18" numFmtId="49" xfId="0" applyNumberFormat="1" applyFont="1" applyBorder="1" applyAlignment="1" applyProtection="1">
      <alignment horizontal="center" vertical="center"/>
      <protection hidden="1"/>
    </xf>
    <xf fontId="9" fillId="0" borderId="19" numFmtId="49" xfId="0" applyNumberFormat="1" applyFont="1" applyBorder="1" applyAlignment="1" applyProtection="1">
      <alignment horizontal="center" vertical="center"/>
      <protection hidden="1"/>
    </xf>
    <xf fontId="9" fillId="0" borderId="17" numFmtId="0" xfId="0" applyFont="1" applyBorder="1" applyAlignment="1" applyProtection="1">
      <alignment horizontal="center" vertical="center"/>
      <protection hidden="1"/>
    </xf>
    <xf fontId="9" fillId="0" borderId="18" numFmtId="0" xfId="0" applyFont="1" applyBorder="1" applyAlignment="1" applyProtection="1">
      <alignment horizontal="center" vertical="center"/>
      <protection hidden="1"/>
    </xf>
    <xf fontId="9" fillId="0" borderId="19" numFmtId="0" xfId="0" applyFont="1" applyBorder="1" applyAlignment="1" applyProtection="1">
      <alignment horizontal="center" vertical="center"/>
      <protection hidden="1"/>
    </xf>
    <xf fontId="9" fillId="0" borderId="1" numFmtId="0" xfId="0" applyFont="1" applyBorder="1" applyAlignment="1" applyProtection="1">
      <alignment horizontal="center" vertical="center"/>
      <protection hidden="1"/>
    </xf>
    <xf fontId="9" fillId="0" borderId="20" numFmtId="49" xfId="0" applyNumberFormat="1" applyFont="1" applyBorder="1" applyAlignment="1" applyProtection="1">
      <alignment horizontal="center" vertical="center"/>
      <protection hidden="1"/>
    </xf>
    <xf fontId="9" fillId="0" borderId="21" numFmtId="49" xfId="0" applyNumberFormat="1" applyFont="1" applyBorder="1" applyAlignment="1" applyProtection="1">
      <alignment horizontal="center" vertical="center"/>
      <protection hidden="1"/>
    </xf>
    <xf fontId="9" fillId="0" borderId="22" numFmtId="49" xfId="0" applyNumberFormat="1" applyFont="1" applyBorder="1" applyAlignment="1" applyProtection="1">
      <alignment horizontal="center" vertical="center"/>
      <protection hidden="1"/>
    </xf>
    <xf fontId="9" fillId="0" borderId="20" numFmtId="0" xfId="0" applyFont="1" applyBorder="1" applyAlignment="1" applyProtection="1">
      <alignment horizontal="center" vertical="center"/>
      <protection hidden="1"/>
    </xf>
    <xf fontId="9" fillId="0" borderId="21" numFmtId="0" xfId="0" applyFont="1" applyBorder="1" applyAlignment="1" applyProtection="1">
      <alignment horizontal="center" vertical="center"/>
      <protection hidden="1"/>
    </xf>
    <xf fontId="9" fillId="0" borderId="22" numFmtId="0" xfId="0" applyFont="1" applyBorder="1" applyAlignment="1" applyProtection="1">
      <alignment horizontal="center" vertical="center"/>
      <protection hidden="1"/>
    </xf>
    <xf fontId="9" fillId="0" borderId="14" numFmtId="49" xfId="0" applyNumberFormat="1" applyFont="1" applyBorder="1" applyAlignment="1" applyProtection="1">
      <alignment horizontal="center" vertical="center"/>
      <protection locked="0"/>
    </xf>
    <xf fontId="9" fillId="0" borderId="15" numFmtId="49" xfId="0" applyNumberFormat="1" applyFont="1" applyBorder="1" applyAlignment="1" applyProtection="1">
      <alignment horizontal="center" vertical="center"/>
      <protection locked="0"/>
    </xf>
    <xf fontId="9" fillId="0" borderId="16" numFmtId="49" xfId="0" applyNumberFormat="1" applyFont="1" applyBorder="1" applyAlignment="1" applyProtection="1">
      <alignment horizontal="center" vertical="center"/>
      <protection locked="0"/>
    </xf>
    <xf fontId="9" fillId="0" borderId="8" numFmtId="0" xfId="0" applyFont="1" applyBorder="1" applyAlignment="1" applyProtection="1">
      <alignment horizontal="center" vertical="center"/>
      <protection locked="0"/>
    </xf>
    <xf fontId="3" fillId="0" borderId="16" numFmtId="0" xfId="0" applyFont="1" applyBorder="1" applyAlignment="1" applyProtection="1">
      <alignment horizontal="center" vertical="center"/>
      <protection locked="0"/>
    </xf>
    <xf fontId="9" fillId="0" borderId="4" numFmtId="49" xfId="0" applyNumberFormat="1" applyFont="1" applyBorder="1" applyAlignment="1" applyProtection="1">
      <alignment horizontal="center" vertical="center"/>
      <protection locked="0"/>
    </xf>
    <xf fontId="9" fillId="0" borderId="5" numFmtId="49" xfId="0" applyNumberFormat="1" applyFont="1" applyBorder="1" applyAlignment="1" applyProtection="1">
      <alignment horizontal="center" vertical="center"/>
      <protection locked="0"/>
    </xf>
    <xf fontId="9" fillId="0" borderId="6" numFmtId="49" xfId="0" applyNumberFormat="1" applyFont="1" applyBorder="1" applyAlignment="1" applyProtection="1">
      <alignment horizontal="center" vertical="center"/>
      <protection locked="0"/>
    </xf>
    <xf fontId="9" fillId="0" borderId="1" numFmtId="0" xfId="0" applyFont="1" applyBorder="1" applyAlignment="1" applyProtection="1">
      <alignment horizontal="center" vertical="center"/>
      <protection locked="0"/>
    </xf>
    <xf fontId="6" fillId="0" borderId="14" numFmtId="0" xfId="0" applyFont="1" applyBorder="1" applyAlignment="1" applyProtection="1">
      <alignment horizontal="center" vertical="center"/>
      <protection locked="0"/>
    </xf>
    <xf fontId="6" fillId="0" borderId="15" numFmtId="0" xfId="0" applyFont="1" applyBorder="1" applyAlignment="1" applyProtection="1">
      <alignment horizontal="center" vertical="center"/>
      <protection locked="0"/>
    </xf>
    <xf fontId="6" fillId="0" borderId="16" numFmtId="0" xfId="0" applyFont="1" applyBorder="1" applyAlignment="1" applyProtection="1">
      <alignment horizontal="center" vertical="center"/>
      <protection locked="0"/>
    </xf>
    <xf fontId="6" fillId="0" borderId="4" numFmtId="0" xfId="0" applyFont="1" applyBorder="1" applyAlignment="1" applyProtection="1">
      <alignment horizontal="center" vertical="center"/>
      <protection locked="0"/>
    </xf>
    <xf fontId="6" fillId="0" borderId="5" numFmtId="0" xfId="0" applyFont="1" applyBorder="1" applyAlignment="1" applyProtection="1">
      <alignment horizontal="center" vertical="center"/>
      <protection locked="0"/>
    </xf>
    <xf fontId="6" fillId="0" borderId="6" numFmtId="0" xfId="0" applyFont="1" applyBorder="1" applyAlignment="1" applyProtection="1">
      <alignment horizontal="center" vertical="center"/>
      <protection locked="0"/>
    </xf>
    <xf fontId="9" fillId="0" borderId="11" numFmtId="49" xfId="0" applyNumberFormat="1" applyFont="1" applyBorder="1" applyAlignment="1" applyProtection="1">
      <alignment horizontal="center" vertical="center"/>
      <protection hidden="1"/>
    </xf>
    <xf fontId="9" fillId="0" borderId="12" numFmtId="49" xfId="0" applyNumberFormat="1" applyFont="1" applyBorder="1" applyAlignment="1" applyProtection="1">
      <alignment horizontal="center" vertical="center"/>
      <protection hidden="1"/>
    </xf>
    <xf fontId="9" fillId="0" borderId="11" numFmtId="0" xfId="0" applyFont="1" applyBorder="1" applyAlignment="1" applyProtection="1">
      <alignment horizontal="center" vertical="center"/>
      <protection hidden="1"/>
    </xf>
    <xf fontId="9" fillId="0" borderId="12" numFmtId="0" xfId="0" applyFont="1" applyBorder="1" applyAlignment="1" applyProtection="1">
      <alignment horizontal="center" vertical="center"/>
      <protection hidden="1"/>
    </xf>
    <xf fontId="9" fillId="0" borderId="13" numFmtId="0" xfId="0" applyFont="1" applyBorder="1" applyAlignment="1" applyProtection="1">
      <alignment horizontal="center" vertical="center"/>
      <protection hidden="1"/>
    </xf>
    <xf fontId="3" fillId="0" borderId="14" numFmtId="49" xfId="0" applyNumberFormat="1" applyFont="1" applyBorder="1" applyAlignment="1" applyProtection="1">
      <alignment horizontal="center" vertical="center"/>
      <protection locked="0"/>
    </xf>
    <xf fontId="3" fillId="0" borderId="15" numFmtId="49" xfId="0" applyNumberFormat="1" applyFont="1" applyBorder="1" applyAlignment="1" applyProtection="1">
      <alignment horizontal="center" vertical="center"/>
      <protection locked="0"/>
    </xf>
    <xf fontId="3" fillId="0" borderId="4" numFmtId="49" xfId="0" applyNumberFormat="1" applyFont="1" applyBorder="1" applyAlignment="1" applyProtection="1">
      <alignment horizontal="center" vertical="center"/>
      <protection locked="0"/>
    </xf>
    <xf fontId="3" fillId="0" borderId="5" numFmtId="49" xfId="0" applyNumberFormat="1" applyFont="1" applyBorder="1" applyAlignment="1" applyProtection="1">
      <alignment horizontal="center" vertical="center"/>
      <protection locked="0"/>
    </xf>
    <xf fontId="9" fillId="0" borderId="7" numFmtId="49" xfId="0" applyNumberFormat="1" applyFont="1" applyBorder="1" applyAlignment="1" applyProtection="1">
      <alignment vertical="center"/>
      <protection hidden="1"/>
    </xf>
    <xf fontId="9" fillId="0" borderId="11" numFmtId="0" xfId="0" applyFont="1" applyBorder="1" applyAlignment="1" applyProtection="1">
      <alignment horizontal="center" vertical="center" wrapText="1"/>
      <protection hidden="1"/>
    </xf>
    <xf fontId="9" fillId="0" borderId="12" numFmtId="0" xfId="0" applyFont="1" applyBorder="1" applyAlignment="1" applyProtection="1">
      <alignment horizontal="center" vertical="center" wrapText="1"/>
      <protection hidden="1"/>
    </xf>
    <xf fontId="9" fillId="0" borderId="13" numFmtId="0" xfId="0" applyFont="1" applyBorder="1" applyAlignment="1" applyProtection="1">
      <alignment horizontal="center" vertical="center" wrapText="1"/>
      <protection hidden="1"/>
    </xf>
    <xf fontId="6" fillId="0" borderId="0" numFmtId="0" xfId="0" applyFont="1" applyProtection="1">
      <protection locked="0"/>
    </xf>
    <xf fontId="6" fillId="0" borderId="0" numFmtId="0" xfId="0" applyFont="1" applyAlignment="1" applyProtection="1">
      <alignment horizontal="left" vertical="center"/>
      <protection locked="0"/>
    </xf>
    <xf fontId="3" fillId="0" borderId="0" numFmtId="49" xfId="0" applyNumberFormat="1" applyFont="1" applyAlignment="1" applyProtection="1">
      <alignment vertical="center"/>
      <protection locked="0"/>
    </xf>
    <xf fontId="6" fillId="0" borderId="0" numFmtId="0" xfId="0" applyFont="1" applyAlignment="1" applyProtection="1">
      <alignment vertical="center"/>
      <protection locked="0"/>
    </xf>
    <xf fontId="6" fillId="0" borderId="0" numFmtId="0" xfId="0" applyFont="1" applyProtection="1">
      <protection hidden="1"/>
    </xf>
    <xf fontId="10" fillId="0" borderId="0" numFmtId="0" xfId="0" applyFont="1" applyAlignment="1" applyProtection="1">
      <alignment horizontal="left" vertical="center"/>
      <protection hidden="1"/>
    </xf>
    <xf fontId="3" fillId="0" borderId="0" numFmtId="49" xfId="0" applyNumberFormat="1" applyFont="1" applyAlignment="1" applyProtection="1">
      <alignment horizontal="left" vertical="center"/>
      <protection hidden="1"/>
    </xf>
    <xf fontId="3" fillId="0" borderId="0" numFmtId="49" xfId="0" applyNumberFormat="1" applyFont="1" applyAlignment="1" applyProtection="1">
      <alignment horizontal="left" shrinkToFit="1" vertical="center"/>
      <protection hidden="1"/>
    </xf>
    <xf fontId="3" fillId="0" borderId="0" numFmtId="0" xfId="0" applyFont="1" applyAlignment="1" applyProtection="1">
      <alignment horizontal="center" shrinkToFit="1" vertical="center"/>
      <protection hidden="1"/>
    </xf>
    <xf fontId="3" fillId="0" borderId="0" numFmtId="0" xfId="0" applyFont="1" applyAlignment="1" applyProtection="1">
      <alignment horizontal="left" shrinkToFit="1" vertical="center"/>
      <protection hidden="1"/>
    </xf>
    <xf fontId="3" fillId="0" borderId="0" numFmtId="49" xfId="0" applyNumberFormat="1" applyFont="1" applyAlignment="1" applyProtection="1">
      <alignment horizontal="left" shrinkToFit="1" vertical="center" wrapText="1"/>
      <protection hidden="1"/>
    </xf>
    <xf fontId="3" fillId="0" borderId="0" numFmtId="0" xfId="0" applyFont="1" applyAlignment="1" applyProtection="1">
      <alignment horizontal="center" vertical="center"/>
      <protection locked="0"/>
    </xf>
    <xf fontId="3" fillId="0" borderId="15" numFmtId="0" xfId="0" applyFont="1" applyBorder="1" applyAlignment="1" applyProtection="1">
      <alignment horizontal="center" vertical="center"/>
      <protection hidden="1"/>
    </xf>
    <xf fontId="11" fillId="0" borderId="0" numFmtId="0" xfId="0" applyFont="1" applyAlignment="1" applyProtection="1" quotePrefix="1">
      <alignment horizontal="center"/>
      <protection locked="0"/>
    </xf>
    <xf fontId="11" fillId="0" borderId="0" numFmtId="0" xfId="0" applyFont="1" applyAlignment="1" applyProtection="1">
      <alignment horizontal="center"/>
      <protection locked="0"/>
    </xf>
    <xf fontId="12" fillId="0" borderId="0" numFmtId="0" xfId="0" applyFont="1" applyAlignment="1" applyProtection="1">
      <alignment horizontal="center" vertical="top"/>
      <protection hidden="1"/>
    </xf>
    <xf fontId="3" fillId="3" borderId="0" numFmtId="49" xfId="0" applyNumberFormat="1" applyFont="1" applyFill="1" applyAlignment="1" applyProtection="1">
      <alignment horizontal="center" vertical="center"/>
      <protection hidden="1"/>
    </xf>
    <xf fontId="3" fillId="3" borderId="0" numFmtId="0" xfId="0" applyFont="1" applyFill="1" applyAlignment="1" applyProtection="1">
      <alignment horizontal="left" vertical="center"/>
      <protection hidden="1"/>
    </xf>
    <xf fontId="13" fillId="4" borderId="0" numFmtId="0" xfId="0" applyFont="1" applyFill="1" applyProtection="1">
      <protection hidden="1"/>
    </xf>
    <xf fontId="14" fillId="4" borderId="0" numFmtId="0" xfId="0" applyFont="1" applyFill="1" applyProtection="1">
      <protection hidden="1"/>
    </xf>
    <xf fontId="15" fillId="4" borderId="0" numFmtId="0" xfId="0" applyFont="1" applyFill="1" applyProtection="1">
      <protection hidden="1"/>
    </xf>
    <xf fontId="16" fillId="4" borderId="0" numFmtId="0" xfId="0" applyFont="1" applyFill="1" applyProtection="1">
      <protection hidden="1"/>
    </xf>
    <xf fontId="16" fillId="4" borderId="0" numFmtId="0" xfId="0" applyFont="1" applyFill="1" applyAlignment="1" applyProtection="1">
      <alignment horizontal="left"/>
      <protection hidden="1"/>
    </xf>
    <xf fontId="14" fillId="4" borderId="0" numFmtId="0" xfId="0" applyFont="1" applyFill="1" applyAlignment="1" applyProtection="1">
      <alignment horizontal="center"/>
      <protection hidden="1"/>
    </xf>
    <xf fontId="14" fillId="0" borderId="0" numFmtId="0" xfId="0" applyFont="1" applyProtection="1">
      <protection hidden="1"/>
    </xf>
    <xf fontId="17" fillId="5" borderId="1" numFmtId="0" xfId="0" applyFont="1" applyFill="1" applyBorder="1" applyAlignment="1" applyProtection="1">
      <alignment horizontal="center"/>
      <protection hidden="1"/>
    </xf>
    <xf fontId="18" fillId="6" borderId="1" numFmtId="0" xfId="0" applyFont="1" applyFill="1" applyBorder="1" applyAlignment="1" applyProtection="1">
      <alignment horizontal="center" vertical="center"/>
      <protection hidden="1"/>
    </xf>
    <xf fontId="18" fillId="6" borderId="1" numFmtId="0" xfId="0" applyFont="1" applyFill="1" applyBorder="1" applyAlignment="1" applyProtection="1">
      <alignment horizontal="center"/>
      <protection hidden="1"/>
    </xf>
    <xf fontId="14" fillId="4" borderId="15" numFmtId="0" xfId="0" applyFont="1" applyFill="1" applyBorder="1" applyProtection="1">
      <protection hidden="1"/>
    </xf>
    <xf fontId="19" fillId="0" borderId="1" numFmtId="0" xfId="0" applyFont="1" applyBorder="1" applyAlignment="1" applyProtection="1" quotePrefix="1">
      <alignment horizontal="center" vertical="center"/>
      <protection locked="0"/>
    </xf>
    <xf fontId="14" fillId="0" borderId="1" numFmtId="0" xfId="0" applyFont="1" applyBorder="1" applyAlignment="1" applyProtection="1">
      <alignment vertical="center"/>
      <protection locked="0"/>
    </xf>
    <xf fontId="19" fillId="0" borderId="1" numFmtId="0" xfId="0" applyFont="1" applyBorder="1" applyAlignment="1" applyProtection="1">
      <alignment horizontal="center" vertical="center"/>
      <protection locked="0"/>
    </xf>
    <xf fontId="20" fillId="4" borderId="0" numFmtId="0" xfId="0" applyFont="1" applyFill="1" applyProtection="1">
      <protection hidden="1"/>
    </xf>
    <xf fontId="21" fillId="7" borderId="0" numFmtId="0" xfId="0" applyFont="1" applyFill="1" applyAlignment="1" applyProtection="1">
      <alignment horizontal="center" vertical="center"/>
      <protection hidden="1"/>
    </xf>
    <xf fontId="21" fillId="7" borderId="9" numFmtId="0" xfId="0" applyFont="1" applyFill="1" applyBorder="1" applyAlignment="1" applyProtection="1">
      <alignment horizontal="center" vertical="center"/>
      <protection hidden="1"/>
    </xf>
    <xf fontId="22" fillId="7" borderId="9" numFmtId="0" xfId="0" applyFont="1" applyFill="1" applyBorder="1" applyAlignment="1" applyProtection="1">
      <alignment horizontal="center" vertical="center"/>
      <protection hidden="1"/>
    </xf>
    <xf fontId="21" fillId="7" borderId="17" numFmtId="0" xfId="0" applyFont="1" applyFill="1" applyBorder="1" applyAlignment="1" applyProtection="1">
      <alignment horizontal="center" vertical="center" wrapText="1"/>
      <protection hidden="1"/>
    </xf>
    <xf fontId="0" fillId="0" borderId="18" numFmtId="0" xfId="0" applyBorder="1"/>
    <xf fontId="0" fillId="0" borderId="19" numFmtId="0" xfId="0" applyBorder="1"/>
    <xf fontId="21" fillId="7" borderId="1" numFmtId="0" xfId="0" applyFont="1" applyFill="1" applyBorder="1" applyAlignment="1" applyProtection="1">
      <alignment horizontal="center" vertical="center"/>
      <protection hidden="1"/>
    </xf>
    <xf fontId="21" fillId="7" borderId="4" numFmtId="0" xfId="0" applyFont="1" applyFill="1" applyBorder="1" applyAlignment="1" applyProtection="1">
      <alignment horizontal="center" vertical="center"/>
      <protection hidden="1"/>
    </xf>
    <xf fontId="0" fillId="0" borderId="5" numFmtId="0" xfId="0" applyBorder="1"/>
    <xf fontId="0" fillId="0" borderId="6" numFmtId="0" xfId="0" applyBorder="1"/>
    <xf fontId="21" fillId="7" borderId="6" numFmtId="0" xfId="0" applyFont="1" applyFill="1" applyBorder="1" applyAlignment="1" applyProtection="1">
      <alignment horizontal="center" vertical="center"/>
      <protection hidden="1"/>
    </xf>
    <xf fontId="21" fillId="7" borderId="17" numFmtId="0" xfId="0" applyFont="1" applyFill="1" applyBorder="1" applyAlignment="1" applyProtection="1">
      <alignment horizontal="center" vertical="center"/>
      <protection hidden="1"/>
    </xf>
    <xf fontId="0" fillId="0" borderId="18" numFmtId="0" xfId="0" applyBorder="1" applyAlignment="1">
      <alignment horizontal="center"/>
    </xf>
    <xf fontId="0" fillId="0" borderId="19" numFmtId="0" xfId="0" applyBorder="1" applyAlignment="1">
      <alignment horizontal="center"/>
    </xf>
    <xf fontId="21" fillId="7" borderId="9" numFmtId="0" xfId="0" applyFont="1" applyFill="1" applyBorder="1" applyAlignment="1" applyProtection="1">
      <alignment horizontal="center" vertical="center" wrapText="1"/>
      <protection hidden="1"/>
    </xf>
    <xf fontId="21" fillId="7" borderId="0" numFmtId="0" xfId="0" applyFont="1" applyFill="1" applyAlignment="1" applyProtection="1">
      <alignment horizontal="center" vertical="center" wrapText="1"/>
      <protection hidden="1"/>
    </xf>
    <xf fontId="21" fillId="7" borderId="0" numFmtId="0" xfId="0" applyFont="1" applyFill="1" applyAlignment="1" applyProtection="1">
      <alignment vertical="center"/>
      <protection hidden="1"/>
    </xf>
    <xf fontId="21" fillId="7" borderId="23" numFmtId="0" xfId="0" applyFont="1" applyFill="1" applyBorder="1" applyAlignment="1" applyProtection="1">
      <alignment horizontal="center" vertical="center"/>
      <protection hidden="1"/>
    </xf>
    <xf fontId="22" fillId="7" borderId="23" numFmtId="0" xfId="0" applyFont="1" applyFill="1" applyBorder="1" applyAlignment="1" applyProtection="1">
      <alignment horizontal="center" vertical="center"/>
      <protection hidden="1"/>
    </xf>
    <xf fontId="0" fillId="0" borderId="14" numFmtId="0" xfId="0" applyBorder="1"/>
    <xf fontId="0" fillId="0" borderId="15" numFmtId="0" xfId="0" applyBorder="1"/>
    <xf fontId="0" fillId="0" borderId="16" numFmtId="0" xfId="0" applyBorder="1"/>
    <xf fontId="21" fillId="7" borderId="4" numFmtId="0" xfId="0" applyFont="1" applyFill="1" applyBorder="1" applyAlignment="1" applyProtection="1">
      <alignment horizontal="center" vertical="center" wrapText="1"/>
      <protection hidden="1"/>
    </xf>
    <xf fontId="21" fillId="7" borderId="19" numFmtId="0" xfId="0" applyFont="1" applyFill="1" applyBorder="1" applyAlignment="1" applyProtection="1">
      <alignment horizontal="center" vertical="center" wrapText="1"/>
      <protection hidden="1"/>
    </xf>
    <xf fontId="21" fillId="7" borderId="9" numFmtId="0" xfId="0" applyFont="1" applyFill="1" applyBorder="1" applyAlignment="1" applyProtection="1">
      <alignment horizontal="center" textRotation="90" vertical="center" wrapText="1"/>
      <protection hidden="1"/>
    </xf>
    <xf fontId="0" fillId="0" borderId="14" numFmtId="0" xfId="0" applyBorder="1" applyAlignment="1">
      <alignment horizontal="center"/>
    </xf>
    <xf fontId="0" fillId="0" borderId="15" numFmtId="0" xfId="0" applyBorder="1" applyAlignment="1">
      <alignment horizontal="center"/>
    </xf>
    <xf fontId="0" fillId="0" borderId="16" numFmtId="0" xfId="0" applyBorder="1" applyAlignment="1">
      <alignment horizontal="center"/>
    </xf>
    <xf fontId="21" fillId="7" borderId="23" numFmtId="0" xfId="0" applyFont="1" applyFill="1" applyBorder="1" applyAlignment="1" applyProtection="1">
      <alignment horizontal="center" vertical="center" wrapText="1"/>
      <protection hidden="1"/>
    </xf>
    <xf fontId="21" fillId="7" borderId="0" numFmtId="0" xfId="0" applyFont="1" applyFill="1" applyAlignment="1" applyProtection="1" quotePrefix="1">
      <alignment horizontal="center" vertical="center"/>
      <protection hidden="1"/>
    </xf>
    <xf fontId="21" fillId="7" borderId="0" numFmtId="0" xfId="0" applyFont="1" applyFill="1" applyAlignment="1" applyProtection="1">
      <alignment horizontal="left" vertical="center"/>
      <protection hidden="1"/>
    </xf>
    <xf fontId="23" fillId="7" borderId="9" numFmtId="0" xfId="0" applyFont="1" applyFill="1" applyBorder="1" applyAlignment="1" applyProtection="1">
      <alignment horizontal="center" textRotation="90" vertical="center"/>
      <protection hidden="1"/>
    </xf>
    <xf fontId="23" fillId="7" borderId="9" numFmtId="0" xfId="0" applyFont="1" applyFill="1" applyBorder="1" applyAlignment="1" applyProtection="1">
      <alignment horizontal="center" textRotation="90" vertical="center" wrapText="1"/>
      <protection hidden="1"/>
    </xf>
    <xf fontId="0" fillId="0" borderId="23" numFmtId="0" xfId="0" applyBorder="1"/>
    <xf fontId="21" fillId="7" borderId="9" numFmtId="0" xfId="0" applyFont="1" applyFill="1" applyBorder="1" applyAlignment="1" applyProtection="1">
      <alignment horizontal="left" vertical="center" wrapText="1"/>
      <protection hidden="1"/>
    </xf>
    <xf fontId="21" fillId="7" borderId="8" numFmtId="0" xfId="0" applyFont="1" applyFill="1" applyBorder="1" applyAlignment="1" applyProtection="1">
      <alignment horizontal="center" vertical="center" wrapText="1"/>
      <protection hidden="1"/>
    </xf>
    <xf fontId="24" fillId="0" borderId="0" numFmtId="0" xfId="0" applyFont="1" applyAlignment="1" applyProtection="1">
      <alignment vertical="center"/>
      <protection hidden="1"/>
    </xf>
    <xf fontId="19" fillId="0" borderId="24" numFmtId="0" xfId="0" applyFont="1" applyBorder="1" applyAlignment="1" applyProtection="1">
      <alignment horizontal="center" vertical="center"/>
      <protection hidden="1"/>
    </xf>
    <xf fontId="19" fillId="0" borderId="24" numFmtId="0" xfId="0" applyFont="1" applyBorder="1" applyAlignment="1" applyProtection="1">
      <alignment vertical="center"/>
      <protection locked="0"/>
    </xf>
    <xf fontId="19" fillId="8" borderId="24" numFmtId="0" xfId="0" applyFont="1" applyFill="1" applyBorder="1" applyAlignment="1" applyProtection="1">
      <alignment horizontal="center" vertical="center"/>
      <protection hidden="1"/>
    </xf>
    <xf fontId="19" fillId="0" borderId="24" numFmtId="0" xfId="0" applyFont="1" applyBorder="1" applyAlignment="1" applyProtection="1" quotePrefix="1">
      <alignment horizontal="center" vertical="center"/>
      <protection hidden="1"/>
    </xf>
    <xf fontId="25" fillId="0" borderId="24" numFmtId="0" xfId="0" applyFont="1" applyBorder="1" applyAlignment="1" applyProtection="1">
      <alignment vertical="center"/>
      <protection hidden="1"/>
    </xf>
    <xf fontId="19" fillId="0" borderId="24" numFmtId="0" xfId="0" applyFont="1" applyBorder="1" applyAlignment="1" applyProtection="1" quotePrefix="1">
      <alignment horizontal="center" vertical="center"/>
      <protection locked="0"/>
    </xf>
    <xf fontId="19" fillId="8" borderId="24" numFmtId="0" xfId="0" applyFont="1" applyFill="1" applyBorder="1" applyAlignment="1" applyProtection="1">
      <alignment vertical="center"/>
      <protection hidden="1"/>
    </xf>
    <xf fontId="19" fillId="0" borderId="24" numFmtId="0" xfId="0" applyFont="1" applyBorder="1" applyAlignment="1" applyProtection="1">
      <alignment horizontal="center" vertical="center"/>
      <protection locked="0"/>
    </xf>
    <xf fontId="26" fillId="0" borderId="24" numFmtId="0" xfId="0" applyFont="1" applyBorder="1" applyAlignment="1" applyProtection="1">
      <alignment vertical="center"/>
      <protection locked="0"/>
    </xf>
    <xf fontId="26" fillId="0" borderId="24" numFmtId="0" xfId="0" applyFont="1" applyBorder="1" applyAlignment="1" applyProtection="1">
      <alignment horizontal="left" vertical="center"/>
      <protection locked="0"/>
    </xf>
    <xf fontId="19" fillId="9" borderId="24" numFmtId="0" xfId="0" applyFont="1" applyFill="1" applyBorder="1" applyAlignment="1" applyProtection="1">
      <alignment horizontal="center" vertical="center"/>
      <protection hidden="1"/>
    </xf>
    <xf fontId="19" fillId="0" borderId="24" numFmtId="49" xfId="0" applyNumberFormat="1" applyFont="1" applyBorder="1" applyAlignment="1" applyProtection="1">
      <alignment horizontal="center" vertical="center"/>
      <protection locked="0"/>
    </xf>
    <xf fontId="19" fillId="0" borderId="25" numFmtId="49" xfId="0" applyNumberFormat="1" applyFont="1" applyBorder="1" applyAlignment="1" applyProtection="1">
      <alignment horizontal="center" vertical="center"/>
      <protection locked="0"/>
    </xf>
    <xf fontId="19" fillId="0" borderId="0" numFmtId="49" xfId="0" applyNumberFormat="1" applyFont="1" applyAlignment="1" applyProtection="1">
      <alignment horizontal="center" vertical="center"/>
      <protection locked="0"/>
    </xf>
    <xf fontId="19" fillId="0" borderId="0" numFmtId="0" xfId="0" applyFont="1" applyAlignment="1" applyProtection="1">
      <alignment vertical="center"/>
      <protection hidden="1"/>
    </xf>
    <xf fontId="27" fillId="0" borderId="0" numFmtId="0" xfId="0" applyFont="1" applyAlignment="1" applyProtection="1" quotePrefix="1">
      <alignment horizontal="center" vertical="center"/>
      <protection hidden="1"/>
    </xf>
    <xf fontId="27" fillId="0" borderId="0" numFmtId="0" xfId="0" applyFont="1" applyAlignment="1" applyProtection="1">
      <alignment horizontal="center" vertical="center"/>
      <protection hidden="1"/>
    </xf>
    <xf fontId="24" fillId="0" borderId="0" numFmtId="0" xfId="0" applyFont="1" applyAlignment="1" applyProtection="1">
      <alignment horizontal="left" vertical="center"/>
      <protection hidden="1"/>
    </xf>
    <xf fontId="24" fillId="0" borderId="0" numFmtId="0" xfId="0" applyFont="1" applyAlignment="1" applyProtection="1">
      <alignment horizontal="center" vertical="center"/>
      <protection hidden="1"/>
    </xf>
    <xf fontId="13" fillId="0" borderId="0" numFmtId="0" xfId="0" applyFont="1" applyProtection="1">
      <protection hidden="1"/>
    </xf>
    <xf fontId="19" fillId="9" borderId="24" numFmtId="164" xfId="0" applyNumberFormat="1" applyFont="1" applyFill="1" applyBorder="1" applyAlignment="1" applyProtection="1">
      <alignment horizontal="center" vertical="center"/>
      <protection hidden="1"/>
    </xf>
    <xf fontId="19" fillId="0" borderId="24" numFmtId="49" xfId="0" applyNumberFormat="1" applyFont="1" applyBorder="1" applyAlignment="1" applyProtection="1" quotePrefix="1">
      <alignment horizontal="center" vertical="center"/>
      <protection locked="0"/>
    </xf>
    <xf fontId="19" fillId="0" borderId="0" numFmtId="49" xfId="0" applyNumberFormat="1" applyFont="1" applyAlignment="1" applyProtection="1" quotePrefix="1">
      <alignment horizontal="center" vertical="center"/>
      <protection locked="0"/>
    </xf>
    <xf fontId="27" fillId="0" borderId="0" numFmtId="0" xfId="0" applyFont="1" applyAlignment="1" applyProtection="1">
      <alignment horizontal="left" vertical="center"/>
      <protection hidden="1"/>
    </xf>
    <xf fontId="13" fillId="0" borderId="0" numFmtId="0" xfId="0" applyFont="1" applyAlignment="1" applyProtection="1">
      <alignment horizontal="center"/>
      <protection hidden="1"/>
    </xf>
    <xf fontId="28" fillId="0" borderId="24" numFmtId="49" xfId="0" applyNumberFormat="1" applyFont="1" applyBorder="1" applyAlignment="1" applyProtection="1">
      <alignment horizontal="center" vertical="center"/>
      <protection locked="0"/>
    </xf>
    <xf fontId="28" fillId="0" borderId="0" numFmtId="49" xfId="0" applyNumberFormat="1" applyFont="1" applyAlignment="1" applyProtection="1">
      <alignment horizontal="center" vertical="center"/>
      <protection locked="0"/>
    </xf>
    <xf fontId="29" fillId="0" borderId="24" numFmtId="49" xfId="0" applyNumberFormat="1" applyFont="1" applyBorder="1" applyAlignment="1" applyProtection="1">
      <alignment horizontal="center" vertical="center"/>
      <protection locked="0"/>
    </xf>
    <xf fontId="0" fillId="0" borderId="1" numFmtId="0" xfId="0" applyBorder="1"/>
    <xf fontId="0" fillId="0" borderId="0" numFmtId="0" xfId="0" quotePrefix="1"/>
    <xf fontId="30" fillId="0" borderId="0" numFmtId="0" xfId="0" applyFont="1"/>
    <xf fontId="0" fillId="0" borderId="1" numFmtId="0" xfId="0" applyBorder="1" applyAlignment="1">
      <alignment horizontal="center"/>
    </xf>
    <xf fontId="0" fillId="0" borderId="1" numFmtId="0" xfId="0" applyBorder="1" applyAlignment="1" quotePrefix="1">
      <alignment horizontal="center"/>
    </xf>
    <xf fontId="0" fillId="0" borderId="0" numFmtId="0" xfId="0" applyAlignment="1">
      <alignment horizontal="left"/>
    </xf>
    <xf fontId="0" fillId="0" borderId="0" numFmtId="0" xfId="0" applyProtection="1">
      <protection hidden="1"/>
    </xf>
    <xf fontId="0" fillId="10" borderId="0" numFmtId="0" xfId="0" applyFill="1" applyProtection="1">
      <protection hidden="1"/>
    </xf>
    <xf fontId="30" fillId="10" borderId="0" numFmtId="0" xfId="0" applyFont="1" applyFill="1" applyAlignment="1" applyProtection="1">
      <alignment horizontal="center" vertical="center" wrapText="1"/>
      <protection hidden="1"/>
    </xf>
    <xf fontId="0" fillId="3" borderId="0" numFmtId="0" xfId="0" applyFill="1" applyProtection="1">
      <protection hidden="1"/>
    </xf>
    <xf fontId="31" fillId="10" borderId="0" numFmtId="0" xfId="0" applyFont="1" applyFill="1" applyAlignment="1" applyProtection="1" quotePrefix="1">
      <alignment horizontal="center"/>
      <protection hidden="1"/>
    </xf>
    <xf fontId="31" fillId="10" borderId="0" numFmtId="0" xfId="0" applyFont="1" applyFill="1" applyAlignment="1" applyProtection="1">
      <alignment horizontal="center"/>
      <protection hidden="1"/>
    </xf>
    <xf fontId="0" fillId="10" borderId="0" numFmtId="0" xfId="0" applyFill="1" applyProtection="1">
      <protection locked="0"/>
    </xf>
    <xf fontId="5" fillId="2" borderId="0" numFmtId="0" xfId="0" applyFont="1" applyFill="1" applyAlignment="1" applyProtection="1">
      <alignment horizontal="center"/>
      <protection hidden="1"/>
    </xf>
    <xf fontId="32" fillId="0" borderId="0" numFmtId="0" xfId="0" applyFont="1" applyAlignment="1" applyProtection="1">
      <alignment horizontal="center"/>
      <protection hidden="1"/>
    </xf>
    <xf fontId="30" fillId="0" borderId="17" numFmtId="0" xfId="0" applyFont="1" applyBorder="1" applyAlignment="1" applyProtection="1">
      <alignment horizontal="center" vertical="center"/>
      <protection hidden="1"/>
    </xf>
    <xf fontId="30" fillId="0" borderId="19" numFmtId="0" xfId="0" applyFont="1" applyBorder="1" applyAlignment="1" applyProtection="1">
      <alignment horizontal="center" vertical="center"/>
      <protection hidden="1"/>
    </xf>
    <xf fontId="30" fillId="0" borderId="3" numFmtId="0" xfId="0" applyFont="1" applyBorder="1" applyAlignment="1" applyProtection="1">
      <alignment horizontal="center" vertical="center"/>
      <protection hidden="1"/>
    </xf>
    <xf fontId="30" fillId="0" borderId="2" numFmtId="0" xfId="0" applyFont="1" applyBorder="1" applyAlignment="1" applyProtection="1">
      <alignment horizontal="center" vertical="center"/>
      <protection hidden="1"/>
    </xf>
    <xf fontId="3" fillId="0" borderId="0" numFmtId="0" xfId="0" applyFont="1" applyAlignment="1" applyProtection="1" quotePrefix="1">
      <alignment horizontal="left"/>
      <protection hidden="1"/>
    </xf>
    <xf fontId="30" fillId="0" borderId="14" numFmtId="0" xfId="0" applyFont="1" applyBorder="1" applyAlignment="1" applyProtection="1">
      <alignment horizontal="center" vertical="center"/>
      <protection hidden="1"/>
    </xf>
    <xf fontId="30" fillId="0" borderId="16" numFmtId="0" xfId="0" applyFont="1" applyBorder="1" applyAlignment="1" applyProtection="1">
      <alignment horizontal="center" vertical="center"/>
      <protection hidden="1"/>
    </xf>
    <xf fontId="3" fillId="0" borderId="0" numFmtId="0" xfId="0" applyFont="1" applyAlignment="1" applyProtection="1">
      <alignment horizontal="left" indent="11"/>
      <protection hidden="1"/>
    </xf>
    <xf fontId="3" fillId="0" borderId="0" numFmtId="0" xfId="0" applyFont="1" applyAlignment="1" applyProtection="1">
      <alignment horizontal="left" indent="10"/>
      <protection hidden="1"/>
    </xf>
    <xf fontId="0" fillId="4" borderId="0" numFmtId="0" xfId="0" applyFill="1"/>
    <xf fontId="0" fillId="0" borderId="0" numFmtId="0" xfId="0" applyAlignment="1">
      <alignment horizontal="center"/>
    </xf>
    <xf fontId="33" fillId="4" borderId="1" numFmtId="0" xfId="0" applyFont="1" applyFill="1" applyBorder="1" applyAlignment="1" applyProtection="1">
      <alignment horizontal="center" vertical="center"/>
      <protection hidden="1"/>
    </xf>
    <xf fontId="34" fillId="4" borderId="1" numFmtId="0" xfId="0" applyFont="1" applyFill="1" applyBorder="1" applyAlignment="1" applyProtection="1">
      <alignment horizontal="center" vertical="center"/>
      <protection hidden="1"/>
    </xf>
    <xf fontId="33" fillId="11" borderId="17" numFmtId="0" xfId="0" applyFont="1" applyFill="1" applyBorder="1" applyAlignment="1" applyProtection="1">
      <alignment horizontal="center" vertical="center"/>
      <protection hidden="1"/>
    </xf>
    <xf fontId="33" fillId="11" borderId="18" numFmtId="0" xfId="0" applyFont="1" applyFill="1" applyBorder="1" applyAlignment="1" applyProtection="1">
      <alignment horizontal="center" vertical="center"/>
      <protection hidden="1"/>
    </xf>
    <xf fontId="33" fillId="11" borderId="19" numFmtId="0" xfId="0" applyFont="1" applyFill="1" applyBorder="1" applyAlignment="1" applyProtection="1">
      <alignment horizontal="center" vertical="center"/>
      <protection hidden="1"/>
    </xf>
    <xf fontId="35" fillId="12" borderId="5" numFmtId="0" xfId="0" applyFont="1" applyFill="1" applyBorder="1" applyAlignment="1" applyProtection="1">
      <alignment horizontal="center" vertical="center"/>
      <protection hidden="1"/>
    </xf>
    <xf fontId="35" fillId="12" borderId="6" numFmtId="0" xfId="0" applyFont="1" applyFill="1" applyBorder="1" applyAlignment="1" applyProtection="1">
      <alignment horizontal="center" vertical="center"/>
      <protection hidden="1"/>
    </xf>
    <xf fontId="33" fillId="4" borderId="17" numFmtId="0" xfId="0" applyFont="1" applyFill="1" applyBorder="1" applyAlignment="1" applyProtection="1">
      <alignment horizontal="center" vertical="center"/>
      <protection hidden="1"/>
    </xf>
    <xf fontId="33" fillId="4" borderId="18" numFmtId="0" xfId="0" applyFont="1" applyFill="1" applyBorder="1" applyAlignment="1" applyProtection="1">
      <alignment horizontal="center" vertical="center"/>
      <protection hidden="1"/>
    </xf>
    <xf fontId="33" fillId="4" borderId="19" numFmtId="0" xfId="0" applyFont="1" applyFill="1" applyBorder="1" applyAlignment="1" applyProtection="1">
      <alignment horizontal="center" vertical="center"/>
      <protection hidden="1"/>
    </xf>
    <xf fontId="33" fillId="4" borderId="4" numFmtId="0" xfId="0" applyFont="1" applyFill="1" applyBorder="1" applyAlignment="1" applyProtection="1">
      <alignment horizontal="center" vertical="center" wrapText="1"/>
      <protection hidden="1"/>
    </xf>
    <xf fontId="0" fillId="0" borderId="1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 wrapText="1"/>
    </xf>
    <xf fontId="0" fillId="4" borderId="2" numFmtId="0" xfId="0" applyFill="1" applyBorder="1"/>
    <xf fontId="33" fillId="11" borderId="14" numFmtId="0" xfId="0" applyFont="1" applyFill="1" applyBorder="1" applyAlignment="1" applyProtection="1">
      <alignment horizontal="center" vertical="center"/>
      <protection hidden="1"/>
    </xf>
    <xf fontId="33" fillId="11" borderId="15" numFmtId="0" xfId="0" applyFont="1" applyFill="1" applyBorder="1" applyAlignment="1" applyProtection="1">
      <alignment horizontal="center" vertical="center"/>
      <protection hidden="1"/>
    </xf>
    <xf fontId="33" fillId="11" borderId="16" numFmtId="0" xfId="0" applyFont="1" applyFill="1" applyBorder="1" applyAlignment="1" applyProtection="1">
      <alignment horizontal="center" vertical="center"/>
      <protection hidden="1"/>
    </xf>
    <xf fontId="35" fillId="12" borderId="17" numFmtId="0" xfId="0" applyFont="1" applyFill="1" applyBorder="1" applyAlignment="1" applyProtection="1">
      <alignment horizontal="center" vertical="center" wrapText="1"/>
      <protection hidden="1"/>
    </xf>
    <xf fontId="35" fillId="12" borderId="18" numFmtId="0" xfId="0" applyFont="1" applyFill="1" applyBorder="1" applyAlignment="1" applyProtection="1">
      <alignment horizontal="center" vertical="center" wrapText="1"/>
      <protection hidden="1"/>
    </xf>
    <xf fontId="35" fillId="12" borderId="19" numFmtId="0" xfId="0" applyFont="1" applyFill="1" applyBorder="1" applyAlignment="1" applyProtection="1">
      <alignment horizontal="center" vertical="center" wrapText="1"/>
      <protection hidden="1"/>
    </xf>
    <xf fontId="35" fillId="12" borderId="4" numFmtId="0" xfId="0" applyFont="1" applyFill="1" applyBorder="1" applyAlignment="1" applyProtection="1">
      <alignment horizontal="center" vertical="center" wrapText="1"/>
      <protection hidden="1"/>
    </xf>
    <xf fontId="35" fillId="12" borderId="5" numFmtId="0" xfId="0" applyFont="1" applyFill="1" applyBorder="1" applyAlignment="1" applyProtection="1">
      <alignment horizontal="center" vertical="center" wrapText="1"/>
      <protection hidden="1"/>
    </xf>
    <xf fontId="35" fillId="12" borderId="6" numFmtId="0" xfId="0" applyFont="1" applyFill="1" applyBorder="1" applyAlignment="1" applyProtection="1">
      <alignment horizontal="center" vertical="center" wrapText="1"/>
      <protection hidden="1"/>
    </xf>
    <xf fontId="33" fillId="4" borderId="9" numFmtId="0" xfId="0" applyFont="1" applyFill="1" applyBorder="1" applyAlignment="1" applyProtection="1">
      <alignment horizontal="center" vertical="center" wrapText="1"/>
      <protection hidden="1"/>
    </xf>
    <xf fontId="33" fillId="4" borderId="14" numFmtId="0" xfId="0" applyFont="1" applyFill="1" applyBorder="1" applyAlignment="1" applyProtection="1">
      <alignment horizontal="center" vertical="center"/>
      <protection hidden="1"/>
    </xf>
    <xf fontId="33" fillId="4" borderId="15" numFmtId="0" xfId="0" applyFont="1" applyFill="1" applyBorder="1" applyAlignment="1" applyProtection="1">
      <alignment horizontal="center" vertical="center"/>
      <protection hidden="1"/>
    </xf>
    <xf fontId="33" fillId="4" borderId="16" numFmtId="0" xfId="0" applyFont="1" applyFill="1" applyBorder="1" applyAlignment="1" applyProtection="1">
      <alignment horizontal="center" vertical="center"/>
      <protection hidden="1"/>
    </xf>
    <xf fontId="33" fillId="4" borderId="9" numFmtId="0" xfId="0" applyFont="1" applyFill="1" applyBorder="1" applyAlignment="1" applyProtection="1">
      <alignment horizontal="center" vertical="center"/>
      <protection hidden="1"/>
    </xf>
    <xf fontId="34" fillId="4" borderId="9" numFmtId="0" xfId="0" applyFont="1" applyFill="1" applyBorder="1" applyAlignment="1" applyProtection="1">
      <alignment horizontal="center" vertical="center"/>
      <protection hidden="1"/>
    </xf>
    <xf fontId="33" fillId="11" borderId="9" numFmtId="0" xfId="0" applyFont="1" applyFill="1" applyBorder="1" applyAlignment="1" applyProtection="1">
      <alignment horizontal="center" vertical="center"/>
      <protection hidden="1"/>
    </xf>
    <xf fontId="35" fillId="12" borderId="9" numFmtId="0" xfId="0" applyFont="1" applyFill="1" applyBorder="1" applyAlignment="1" applyProtection="1">
      <alignment horizontal="center" vertical="center" wrapText="1"/>
      <protection hidden="1"/>
    </xf>
    <xf fontId="35" fillId="12" borderId="9" numFmtId="0" xfId="0" applyFont="1" applyFill="1" applyBorder="1" applyAlignment="1" applyProtection="1">
      <alignment horizontal="center" vertical="center"/>
      <protection hidden="1"/>
    </xf>
    <xf fontId="33" fillId="4" borderId="23" numFmtId="0" xfId="0" applyFont="1" applyFill="1" applyBorder="1" applyAlignment="1" applyProtection="1">
      <alignment horizontal="center" vertical="center" wrapText="1"/>
      <protection hidden="1"/>
    </xf>
    <xf fontId="33" fillId="4" borderId="17" numFmtId="0" xfId="0" applyFont="1" applyFill="1" applyBorder="1" applyAlignment="1" applyProtection="1">
      <alignment horizontal="center" vertical="center" wrapText="1"/>
      <protection hidden="1"/>
    </xf>
    <xf fontId="0" fillId="4" borderId="1" numFmtId="0" xfId="0" applyFill="1" applyBorder="1"/>
    <xf fontId="0" fillId="0" borderId="0" numFmtId="0" xfId="0" applyAlignment="1" quotePrefix="1">
      <alignment horizontal="center"/>
    </xf>
    <xf fontId="36" fillId="0" borderId="0" numFmtId="0" xfId="0" applyFont="1" applyAlignment="1" applyProtection="1">
      <alignment horizontal="center"/>
      <protection hidden="1"/>
    </xf>
    <xf fontId="0" fillId="10" borderId="0" numFmtId="0" xfId="0" applyFill="1" applyAlignment="1" applyProtection="1">
      <alignment horizontal="center" vertical="center" wrapText="1"/>
      <protection hidden="1"/>
    </xf>
    <xf fontId="37" fillId="0" borderId="0" numFmtId="0" xfId="0" applyFont="1" applyAlignment="1" applyProtection="1">
      <alignment horizontal="center" vertical="center"/>
      <protection hidden="1"/>
    </xf>
    <xf fontId="7" fillId="0" borderId="0" numFmtId="0" xfId="0" applyFont="1" applyAlignment="1" applyProtection="1">
      <alignment horizontal="center" vertical="center"/>
      <protection hidden="1"/>
    </xf>
    <xf fontId="31" fillId="10" borderId="0" numFmtId="0" xfId="0" applyFont="1" applyFill="1" applyAlignment="1" applyProtection="1" quotePrefix="1">
      <alignment horizontal="center"/>
      <protection locked="0"/>
    </xf>
    <xf fontId="31" fillId="10" borderId="0" numFmtId="0" xfId="0" applyFont="1" applyFill="1" applyAlignment="1" applyProtection="1">
      <alignment horizontal="center"/>
      <protection locked="0"/>
    </xf>
    <xf fontId="38" fillId="0" borderId="0" numFmtId="0" xfId="0" applyFont="1" applyAlignment="1" applyProtection="1">
      <alignment horizontal="center"/>
      <protection hidden="1"/>
    </xf>
    <xf fontId="39" fillId="0" borderId="0" numFmtId="0" xfId="0" applyFont="1" applyAlignment="1" applyProtection="1">
      <alignment horizontal="left"/>
      <protection hidden="1"/>
    </xf>
    <xf fontId="37" fillId="0" borderId="0" numFmtId="0" xfId="0" applyFont="1" applyAlignment="1" applyProtection="1">
      <alignment horizontal="center"/>
      <protection hidden="1"/>
    </xf>
    <xf fontId="40" fillId="0" borderId="0" numFmtId="0" xfId="0" applyFont="1" applyAlignment="1" applyProtection="1">
      <alignment horizontal="left"/>
      <protection hidden="1"/>
    </xf>
    <xf fontId="41" fillId="0" borderId="0" numFmtId="0" xfId="0" applyFont="1" applyAlignment="1" applyProtection="1">
      <alignment horizontal="left"/>
      <protection hidden="1"/>
    </xf>
    <xf fontId="42" fillId="0" borderId="0" numFmtId="0" xfId="0" applyFont="1" applyProtection="1">
      <protection hidden="1"/>
    </xf>
    <xf fontId="43" fillId="0" borderId="0" numFmtId="0" xfId="0" applyFont="1" applyAlignment="1" applyProtection="1">
      <alignment horizontal="left"/>
      <protection hidden="1"/>
    </xf>
    <xf fontId="42" fillId="0" borderId="0" numFmtId="0" xfId="0" applyFont="1" applyAlignment="1" applyProtection="1">
      <alignment horizontal="left"/>
      <protection hidden="1"/>
    </xf>
    <xf fontId="41" fillId="0" borderId="0" numFmtId="0" xfId="0" applyFont="1" applyProtection="1">
      <protection hidden="1"/>
    </xf>
    <xf fontId="3" fillId="0" borderId="0" numFmtId="0" xfId="0" applyFont="1" applyAlignment="1" applyProtection="1">
      <alignment horizontal="left" vertical="top" wrapText="1"/>
      <protection hidden="1"/>
    </xf>
    <xf fontId="12" fillId="0" borderId="0" numFmtId="0" xfId="0" applyFont="1" applyAlignment="1" applyProtection="1">
      <alignment horizontal="justify" vertical="top" wrapText="1"/>
      <protection hidden="1"/>
    </xf>
    <xf fontId="3" fillId="0" borderId="0" numFmtId="0" xfId="0" applyFont="1" applyAlignment="1" applyProtection="1">
      <alignment horizontal="center" vertical="top"/>
      <protection hidden="1"/>
    </xf>
    <xf fontId="3" fillId="0" borderId="0" numFmtId="0" xfId="0" applyFont="1" applyAlignment="1" applyProtection="1">
      <alignment horizontal="justify" vertical="top" wrapText="1"/>
      <protection hidden="1"/>
    </xf>
    <xf fontId="3" fillId="0" borderId="0" numFmtId="0" xfId="0" applyFont="1" applyAlignment="1" applyProtection="1">
      <alignment horizontal="right" vertical="top" wrapText="1"/>
      <protection hidden="1"/>
    </xf>
    <xf fontId="3" fillId="0" borderId="0" numFmtId="0" xfId="0" applyFont="1" applyAlignment="1" applyProtection="1">
      <alignment horizontal="justify" vertical="top"/>
      <protection hidden="1"/>
    </xf>
    <xf fontId="12" fillId="0" borderId="0" numFmtId="0" xfId="0" applyFont="1" applyAlignment="1" applyProtection="1">
      <alignment horizontal="justify" vertical="top"/>
      <protection hidden="1"/>
    </xf>
    <xf fontId="6" fillId="0" borderId="0" numFmtId="0" xfId="0" applyFont="1" applyAlignment="1" applyProtection="1">
      <alignment horizontal="center"/>
      <protection hidden="1"/>
    </xf>
    <xf fontId="44" fillId="0" borderId="0" numFmtId="0" xfId="0" applyFont="1" applyProtection="1">
      <protection hidden="1"/>
    </xf>
    <xf fontId="3" fillId="0" borderId="0" numFmtId="0" xfId="0" applyFont="1" applyAlignment="1" applyProtection="1">
      <alignment horizontal="left" indent="2" vertical="top"/>
      <protection hidden="1"/>
    </xf>
    <xf fontId="44" fillId="0" borderId="0" numFmtId="0" xfId="0" applyFont="1" applyAlignment="1" applyProtection="1">
      <alignment horizontal="left" vertical="top" wrapText="1"/>
      <protection hidden="1"/>
    </xf>
    <xf fontId="44" fillId="0" borderId="0" numFmtId="0" xfId="0" applyFont="1" applyAlignment="1" applyProtection="1">
      <alignment horizontal="left"/>
      <protection hidden="1"/>
    </xf>
    <xf fontId="45" fillId="0" borderId="0" numFmtId="0" xfId="0" applyFont="1" applyAlignment="1" applyProtection="1">
      <alignment horizontal="center"/>
      <protection hidden="1"/>
    </xf>
    <xf fontId="19" fillId="0" borderId="0" numFmtId="0" xfId="0" applyFont="1" applyAlignment="1" applyProtection="1">
      <alignment horizontal="left"/>
      <protection hidden="1"/>
    </xf>
    <xf fontId="46" fillId="10" borderId="0" numFmtId="0" xfId="0" applyFont="1" applyFill="1" applyProtection="1">
      <protection hidden="1"/>
    </xf>
    <xf fontId="44" fillId="0" borderId="0" numFmtId="14" xfId="0" applyNumberFormat="1" applyFont="1" applyAlignment="1" applyProtection="1">
      <alignment horizontal="left" vertical="top" wrapText="1"/>
      <protection hidden="1"/>
    </xf>
    <xf fontId="47" fillId="0" borderId="0" numFmtId="0" xfId="0" applyFont="1" applyAlignment="1" applyProtection="1">
      <alignment horizontal="left" vertical="top" wrapText="1"/>
      <protection hidden="1"/>
    </xf>
    <xf fontId="44" fillId="0" borderId="0" numFmtId="0" xfId="0" applyFont="1" applyAlignment="1" applyProtection="1">
      <alignment horizontal="center" vertical="top" wrapText="1"/>
      <protection hidden="1"/>
    </xf>
    <xf fontId="3" fillId="0" borderId="0" numFmtId="0" xfId="0" applyFont="1" applyAlignment="1" applyProtection="1">
      <alignment vertical="top" wrapText="1"/>
      <protection hidden="1"/>
    </xf>
    <xf fontId="3" fillId="0" borderId="0" numFmtId="0" xfId="0" applyFont="1" applyAlignment="1" applyProtection="1">
      <alignment horizontal="center" vertical="top" wrapText="1"/>
      <protection hidden="1"/>
    </xf>
    <xf fontId="3" fillId="0" borderId="0" numFmtId="0" xfId="0" applyFont="1" applyAlignment="1" applyProtection="1">
      <alignment horizontal="left" vertical="top"/>
      <protection hidden="1"/>
    </xf>
    <xf fontId="3" fillId="0" borderId="0" numFmtId="0" xfId="0" applyFont="1" applyAlignment="1" applyProtection="1">
      <alignment wrapText="1"/>
      <protection hidden="1"/>
    </xf>
    <xf fontId="48" fillId="0" borderId="0" numFmtId="0" xfId="0" applyFont="1" applyProtection="1">
      <protection hidden="1"/>
    </xf>
    <xf fontId="49" fillId="0" borderId="0" numFmtId="0" xfId="0" applyFont="1" applyProtection="1">
      <protection hidden="1"/>
    </xf>
    <xf fontId="42" fillId="0" borderId="0" numFmtId="0" xfId="0" applyFont="1" applyAlignment="1" applyProtection="1" quotePrefix="1">
      <alignment horizontal="left"/>
      <protection hidden="1"/>
    </xf>
    <xf fontId="50" fillId="0" borderId="0" numFmtId="0" xfId="0" applyFont="1" applyAlignment="1" applyProtection="1">
      <alignment horizontal="left"/>
      <protection hidden="1"/>
    </xf>
    <xf fontId="3" fillId="0" borderId="0" numFmtId="0" xfId="0" applyFont="1" applyAlignment="1">
      <alignment horizontal="left"/>
    </xf>
    <xf fontId="51" fillId="0" borderId="0" numFmtId="0" xfId="0" applyFont="1" applyAlignment="1">
      <alignment horizontal="left"/>
    </xf>
    <xf fontId="51" fillId="0" borderId="0" numFmtId="0" xfId="0" applyFont="1" applyAlignment="1" applyProtection="1">
      <alignment horizontal="left"/>
      <protection hidden="1"/>
    </xf>
    <xf fontId="52" fillId="0" borderId="0" numFmtId="0" xfId="0" applyFont="1" applyAlignment="1" applyProtection="1">
      <alignment horizontal="left" vertical="top" wrapText="1"/>
      <protection hidden="1"/>
    </xf>
    <xf fontId="53" fillId="0" borderId="0" numFmtId="0" xfId="0" applyFont="1" applyAlignment="1" applyProtection="1">
      <alignment horizontal="left"/>
      <protection hidden="1"/>
    </xf>
    <xf fontId="6" fillId="0" borderId="0" numFmtId="0" xfId="0" applyFont="1" applyAlignment="1" applyProtection="1">
      <alignment horizontal="right"/>
      <protection hidden="1"/>
    </xf>
    <xf fontId="54" fillId="7" borderId="0" numFmtId="0" xfId="0" applyFont="1" applyFill="1" applyAlignment="1" applyProtection="1">
      <alignment horizontal="center"/>
      <protection hidden="1"/>
    </xf>
  </cellXfs>
  <cellStyles count="6">
    <cellStyle name="Normal" xfId="0" builtinId="0"/>
    <cellStyle name="Normal 2 2" xfId="1"/>
    <cellStyle name="Normal 2 3" xfId="2"/>
    <cellStyle name="Normal 2 4" xfId="3"/>
    <cellStyle name="Normal 5" xfId="4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ctrlProps/ctrlProp1.xml><?xml version="1.0" encoding="utf-8"?>
<formControlPr xmlns="http://schemas.microsoft.com/office/spreadsheetml/2009/9/main" objectType="Drop" dropStyle="combo" dx="16" dropLines="8" inc="1" min="0" max="30" page="8" sel="1" selType="single" val="25" fmlaLink="$C$4" fmlaRange="REKAP!$I$8:$I$45"/>
</file>

<file path=xl/ctrlProps/ctrlProp2.xml><?xml version="1.0" encoding="utf-8"?>
<formControlPr xmlns="http://schemas.microsoft.com/office/spreadsheetml/2009/9/main" objectType="Drop" dropStyle="combo" dx="16" dropLines="8" inc="1" min="0" max="165" page="8" sel="113" selType="single" val="111" fmlaLink="$O$3" fmlaRange="REKAP!$I$8:$I$180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#&apos;Form Kepegawaian&apos;!A1" TargetMode="External"/><Relationship Id="rId2" Type="http://schemas.openxmlformats.org/officeDocument/2006/relationships/hyperlink" Target="#ENTRI!A1" TargetMode="External"/><Relationship Id="rId3" Type="http://schemas.openxmlformats.org/officeDocument/2006/relationships/hyperlink" Target="#&apos;SK &apos;!A1" TargetMode="External"/><Relationship Id="rId4" Type="http://schemas.openxmlformats.org/officeDocument/2006/relationships/hyperlink" Target="#BIODATA!A1" TargetMode="External"/><Relationship Id="rId5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#MENU!A1" TargetMode="Externa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#MENU!A1" TargetMode="Externa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image" Target="../media/image2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hyperlink" Target="#MENU!A1" TargetMode="External"/><Relationship Id="rId2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390525</xdr:colOff>
      <xdr:row>11</xdr:row>
      <xdr:rowOff>95250</xdr:rowOff>
    </xdr:from>
    <xdr:to>
      <xdr:col>6</xdr:col>
      <xdr:colOff>19050</xdr:colOff>
      <xdr:row>14</xdr:row>
      <xdr:rowOff>19050</xdr:rowOff>
    </xdr:to>
    <xdr:sp>
      <xdr:nvSpPr>
        <xdr:cNvPr id="3" name="Rounded Rectangle 2">
          <a:hlinkClick r:id="rId1"/>
        </xdr:cNvPr>
        <xdr:cNvSpPr/>
      </xdr:nvSpPr>
      <xdr:spPr bwMode="auto">
        <a:xfrm>
          <a:off x="2828925" y="2476500"/>
          <a:ext cx="1457325" cy="495300"/>
        </a:xfrm>
        <a:prstGeom prst="roundRect">
          <a:avLst>
            <a:gd name="adj" fmla="val 16667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200">
              <a:latin typeface="Arial Black"/>
            </a:rPr>
            <a:t>FORM</a:t>
          </a:r>
          <a:r>
            <a:rPr lang="en-US" sz="1200">
              <a:latin typeface="Arial Black"/>
            </a:rPr>
            <a:t> DATA</a:t>
          </a:r>
          <a:endParaRPr lang="en-US" sz="1200">
            <a:latin typeface="Arial Black"/>
          </a:endParaRPr>
        </a:p>
      </xdr:txBody>
    </xdr:sp>
    <xdr:clientData/>
  </xdr:twoCellAnchor>
  <xdr:twoCellAnchor editAs="twoCell">
    <xdr:from>
      <xdr:col>6</xdr:col>
      <xdr:colOff>266700</xdr:colOff>
      <xdr:row>11</xdr:row>
      <xdr:rowOff>76200</xdr:rowOff>
    </xdr:from>
    <xdr:to>
      <xdr:col>8</xdr:col>
      <xdr:colOff>504825</xdr:colOff>
      <xdr:row>14</xdr:row>
      <xdr:rowOff>0</xdr:rowOff>
    </xdr:to>
    <xdr:sp>
      <xdr:nvSpPr>
        <xdr:cNvPr id="4" name="Rounded Rectangle 3">
          <a:hlinkClick r:id="rId2"/>
        </xdr:cNvPr>
        <xdr:cNvSpPr/>
      </xdr:nvSpPr>
      <xdr:spPr bwMode="auto">
        <a:xfrm>
          <a:off x="4533900" y="2457450"/>
          <a:ext cx="1457325" cy="495300"/>
        </a:xfrm>
        <a:prstGeom prst="roundRect">
          <a:avLst>
            <a:gd name="adj" fmla="val 16667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200">
              <a:latin typeface="Arial Black"/>
            </a:rPr>
            <a:t>ENTRI DATA</a:t>
          </a:r>
          <a:endParaRPr/>
        </a:p>
      </xdr:txBody>
    </xdr:sp>
    <xdr:clientData/>
  </xdr:twoCellAnchor>
  <xdr:twoCellAnchor editAs="twoCell">
    <xdr:from>
      <xdr:col>9</xdr:col>
      <xdr:colOff>161924</xdr:colOff>
      <xdr:row>11</xdr:row>
      <xdr:rowOff>85725</xdr:rowOff>
    </xdr:from>
    <xdr:to>
      <xdr:col>11</xdr:col>
      <xdr:colOff>400050</xdr:colOff>
      <xdr:row>14</xdr:row>
      <xdr:rowOff>9525</xdr:rowOff>
    </xdr:to>
    <xdr:sp>
      <xdr:nvSpPr>
        <xdr:cNvPr id="5" name="Rounded Rectangle 4">
          <a:hlinkClick r:id="rId3"/>
        </xdr:cNvPr>
        <xdr:cNvSpPr/>
      </xdr:nvSpPr>
      <xdr:spPr bwMode="auto">
        <a:xfrm>
          <a:off x="6257925" y="2466975"/>
          <a:ext cx="1457325" cy="495300"/>
        </a:xfrm>
        <a:prstGeom prst="roundRect">
          <a:avLst>
            <a:gd name="adj" fmla="val 16667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200">
              <a:latin typeface="Arial Black"/>
            </a:rPr>
            <a:t>CETAK SK</a:t>
          </a:r>
          <a:endParaRPr/>
        </a:p>
      </xdr:txBody>
    </xdr:sp>
    <xdr:clientData/>
  </xdr:twoCellAnchor>
  <xdr:twoCellAnchor editAs="twoCell">
    <xdr:from>
      <xdr:col>12</xdr:col>
      <xdr:colOff>95250</xdr:colOff>
      <xdr:row>11</xdr:row>
      <xdr:rowOff>66675</xdr:rowOff>
    </xdr:from>
    <xdr:to>
      <xdr:col>14</xdr:col>
      <xdr:colOff>333375</xdr:colOff>
      <xdr:row>13</xdr:row>
      <xdr:rowOff>180975</xdr:rowOff>
    </xdr:to>
    <xdr:sp>
      <xdr:nvSpPr>
        <xdr:cNvPr id="6" name="Rounded Rectangle 5">
          <a:hlinkClick r:id="rId4"/>
        </xdr:cNvPr>
        <xdr:cNvSpPr/>
      </xdr:nvSpPr>
      <xdr:spPr bwMode="auto">
        <a:xfrm>
          <a:off x="8020050" y="2447925"/>
          <a:ext cx="1457325" cy="495300"/>
        </a:xfrm>
        <a:prstGeom prst="roundRect">
          <a:avLst>
            <a:gd name="adj" fmla="val 16667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200">
              <a:latin typeface="Arial Black"/>
            </a:rPr>
            <a:t>BIODATA</a:t>
          </a:r>
          <a:endParaRPr/>
        </a:p>
      </xdr:txBody>
    </xdr:sp>
    <xdr:clientData/>
  </xdr:twoCellAnchor>
  <xdr:twoCellAnchor editAs="oneCell">
    <xdr:from>
      <xdr:col>1</xdr:col>
      <xdr:colOff>205154</xdr:colOff>
      <xdr:row>4</xdr:row>
      <xdr:rowOff>36635</xdr:rowOff>
    </xdr:from>
    <xdr:to>
      <xdr:col>3</xdr:col>
      <xdr:colOff>396927</xdr:colOff>
      <xdr:row>9</xdr:row>
      <xdr:rowOff>155778</xdr:rowOff>
    </xdr:to>
    <xdr:pic>
      <xdr:nvPicPr>
        <xdr:cNvPr id="7" name="Picture 6" descr="C:\Users\MTs QH\Documents\LOGO\LOGO YAYASAN QOMARUL HIDAYAH.jpg"/>
        <xdr:cNvPicPr/>
      </xdr:nvPicPr>
      <xdr:blipFill rotWithShape="1">
        <a:blip r:embed="rId5"/>
        <a:stretch/>
      </xdr:blipFill>
      <xdr:spPr bwMode="auto">
        <a:xfrm>
          <a:off x="813289" y="798635"/>
          <a:ext cx="1408042" cy="1342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27</xdr:col>
      <xdr:colOff>110572</xdr:colOff>
      <xdr:row>0</xdr:row>
      <xdr:rowOff>47625</xdr:rowOff>
    </xdr:from>
    <xdr:to>
      <xdr:col>31</xdr:col>
      <xdr:colOff>167723</xdr:colOff>
      <xdr:row>1</xdr:row>
      <xdr:rowOff>122997</xdr:rowOff>
    </xdr:to>
    <xdr:sp>
      <xdr:nvSpPr>
        <xdr:cNvPr id="2" name="Rectangle 1">
          <a:hlinkClick r:id="rId1"/>
        </xdr:cNvPr>
        <xdr:cNvSpPr/>
      </xdr:nvSpPr>
      <xdr:spPr bwMode="auto">
        <a:xfrm>
          <a:off x="6654247" y="47625"/>
          <a:ext cx="952501" cy="32302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100" b="1">
              <a:latin typeface="Arial"/>
              <a:cs typeface="Arial"/>
            </a:rPr>
            <a:t>MENU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66262</xdr:colOff>
      <xdr:row>1</xdr:row>
      <xdr:rowOff>56735</xdr:rowOff>
    </xdr:from>
    <xdr:to>
      <xdr:col>6</xdr:col>
      <xdr:colOff>1018763</xdr:colOff>
      <xdr:row>2</xdr:row>
      <xdr:rowOff>139561</xdr:rowOff>
    </xdr:to>
    <xdr:sp>
      <xdr:nvSpPr>
        <xdr:cNvPr id="5" name="Rectangle 4">
          <a:hlinkClick r:id="rId1"/>
        </xdr:cNvPr>
        <xdr:cNvSpPr/>
      </xdr:nvSpPr>
      <xdr:spPr bwMode="auto">
        <a:xfrm>
          <a:off x="3038062" y="294860"/>
          <a:ext cx="952501" cy="32095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100" b="1">
              <a:latin typeface="Arial"/>
              <a:cs typeface="Arial"/>
            </a:rPr>
            <a:t>MENU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19050</xdr:colOff>
      <xdr:row>1</xdr:row>
      <xdr:rowOff>3313</xdr:rowOff>
    </xdr:from>
    <xdr:to>
      <xdr:col>7</xdr:col>
      <xdr:colOff>590549</xdr:colOff>
      <xdr:row>4</xdr:row>
      <xdr:rowOff>28575</xdr:rowOff>
    </xdr:to>
    <xdr:sp>
      <xdr:nvSpPr>
        <xdr:cNvPr id="6" name="Rectangle 5">
          <a:hlinkClick r:id="rId1"/>
        </xdr:cNvPr>
        <xdr:cNvSpPr/>
      </xdr:nvSpPr>
      <xdr:spPr bwMode="auto">
        <a:xfrm>
          <a:off x="3267075" y="193813"/>
          <a:ext cx="1181099" cy="596762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100" b="1">
              <a:latin typeface="Arial"/>
              <a:cs typeface="Arial"/>
            </a:rPr>
            <a:t>MENU</a:t>
          </a:r>
          <a:endParaRPr/>
        </a:p>
      </xdr:txBody>
    </xdr:sp>
    <xdr:clientData/>
  </xdr:twoCellAnchor>
  <xdr:twoCellAnchor editAs="oneCell">
    <xdr:from>
      <xdr:col>1</xdr:col>
      <xdr:colOff>400050</xdr:colOff>
      <xdr:row>7</xdr:row>
      <xdr:rowOff>171450</xdr:rowOff>
    </xdr:from>
    <xdr:to>
      <xdr:col>3</xdr:col>
      <xdr:colOff>171450</xdr:colOff>
      <xdr:row>11</xdr:row>
      <xdr:rowOff>114300</xdr:rowOff>
    </xdr:to>
    <xdr:pic>
      <xdr:nvPicPr>
        <xdr:cNvPr id="5" name="Picture 4" descr="C:\Users\MTs QH\Documents\LOGO\LOGO YAYASAN QOMARUL HIDAYAH.jpg"/>
        <xdr:cNvPicPr/>
      </xdr:nvPicPr>
      <xdr:blipFill rotWithShape="1">
        <a:blip r:embed="rId2"/>
        <a:stretch/>
      </xdr:blipFill>
      <xdr:spPr bwMode="auto">
        <a:xfrm>
          <a:off x="1009650" y="1504950"/>
          <a:ext cx="990600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16565</xdr:colOff>
      <xdr:row>4</xdr:row>
      <xdr:rowOff>99390</xdr:rowOff>
    </xdr:from>
    <xdr:to>
      <xdr:col>17</xdr:col>
      <xdr:colOff>546651</xdr:colOff>
      <xdr:row>7</xdr:row>
      <xdr:rowOff>0</xdr:rowOff>
    </xdr:to>
    <xdr:sp>
      <xdr:nvSpPr>
        <xdr:cNvPr id="2" name="Rectangle 1">
          <a:hlinkClick r:id="rId1"/>
        </xdr:cNvPr>
        <xdr:cNvSpPr/>
      </xdr:nvSpPr>
      <xdr:spPr bwMode="auto">
        <a:xfrm>
          <a:off x="8166652" y="1118151"/>
          <a:ext cx="2368825" cy="414131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>
            <a:defRPr/>
          </a:pPr>
          <a:r>
            <a:rPr lang="en-US" sz="1100" b="1">
              <a:latin typeface="Arial"/>
              <a:cs typeface="Arial"/>
            </a:rPr>
            <a:t>MENU</a:t>
          </a:r>
          <a:endParaRPr/>
        </a:p>
      </xdr:txBody>
    </xdr:sp>
    <xdr:clientData/>
  </xdr:twoCellAnchor>
  <xdr:twoCellAnchor editAs="oneCell">
    <xdr:from>
      <xdr:col>0</xdr:col>
      <xdr:colOff>165652</xdr:colOff>
      <xdr:row>0</xdr:row>
      <xdr:rowOff>49698</xdr:rowOff>
    </xdr:from>
    <xdr:to>
      <xdr:col>1</xdr:col>
      <xdr:colOff>8282</xdr:colOff>
      <xdr:row>3</xdr:row>
      <xdr:rowOff>157371</xdr:rowOff>
    </xdr:to>
    <xdr:pic>
      <xdr:nvPicPr>
        <xdr:cNvPr id="5" name="Picture 4" descr="C:\Users\MTs QH\Documents\LOGO\LOGO YAYASAN QOMARUL HIDAYAH.jpg"/>
        <xdr:cNvPicPr/>
      </xdr:nvPicPr>
      <xdr:blipFill rotWithShape="1">
        <a:blip r:embed="rId2"/>
        <a:stretch/>
      </xdr:blipFill>
      <xdr:spPr bwMode="auto">
        <a:xfrm>
          <a:off x="165652" y="49698"/>
          <a:ext cx="1023730" cy="964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I:\TATA%20USAHA%20YAYASAN%20QOMARUL%20HIDAYAH\SK%20YAYASAN\FORM%20PERSONALIA%20YPP%20QOMARUL%20HIDAYAH-INDUK2.xlsm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I:\TATA%20USAHA%20YAYASAN%20QOMARUL%20HIDAYAH\SK%20YAYASAN\FORM%20PERSONALIA%20YPP%20QOMARUL%20HIDAYAH-INDUK%20FI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orm Kepegawaian"/>
      <sheetName val="ENTRI"/>
      <sheetName val="REFERENSI"/>
      <sheetName val="BIODATA"/>
      <sheetName val="REKAP"/>
      <sheetName val="SK "/>
    </sheetNames>
    <sheetDataSet>
      <sheetData sheetId="0" refreshError="1"/>
      <sheetData sheetId="1" refreshError="1"/>
      <sheetData sheetId="2" refreshError="1"/>
      <sheetData sheetId="3" refreshError="1">
        <row r="5">
          <cell r="F5" t="e">
            <v>#REF!</v>
          </cell>
          <cell r="H5" t="e">
            <v>#REF!</v>
          </cell>
          <cell r="I5" t="e">
            <v>#REF!</v>
          </cell>
        </row>
        <row r="6">
          <cell r="H6" t="e">
            <v>#REF!</v>
          </cell>
          <cell r="I6" t="e">
            <v>#REF!</v>
          </cell>
        </row>
        <row r="7">
          <cell r="H7" t="e">
            <v>#REF!</v>
          </cell>
          <cell r="I7" t="e">
            <v>#REF!</v>
          </cell>
        </row>
        <row r="8">
          <cell r="H8" t="e">
            <v>#REF!</v>
          </cell>
          <cell r="I8" t="e">
            <v>#REF!</v>
          </cell>
        </row>
        <row r="9">
          <cell r="H9" t="e">
            <v>#REF!</v>
          </cell>
          <cell r="I9" t="e">
            <v>#REF!</v>
          </cell>
        </row>
        <row r="10">
          <cell r="H10" t="e">
            <v>#REF!</v>
          </cell>
          <cell r="I10" t="e">
            <v>#REF!</v>
          </cell>
        </row>
        <row r="11">
          <cell r="H11" t="e">
            <v>#REF!</v>
          </cell>
          <cell r="I11" t="e">
            <v>#REF!</v>
          </cell>
        </row>
        <row r="12">
          <cell r="H12" t="e">
            <v>#REF!</v>
          </cell>
          <cell r="I12" t="e">
            <v>#REF!</v>
          </cell>
        </row>
        <row r="13">
          <cell r="H13" t="e">
            <v>#REF!</v>
          </cell>
          <cell r="I13" t="e">
            <v>#REF!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orm Kepegawaian"/>
      <sheetName val="ENTRI"/>
      <sheetName val="REFERENSI"/>
      <sheetName val="BIODATA"/>
      <sheetName val="REKAP"/>
      <sheetName val="SK "/>
    </sheetNames>
    <sheetDataSet>
      <sheetData sheetId="0" refreshError="1"/>
      <sheetData sheetId="1" refreshError="1"/>
      <sheetData sheetId="2" refreshError="1"/>
      <sheetData sheetId="3" refreshError="1">
        <row r="5">
          <cell r="F5" t="e">
            <v>#REF!</v>
          </cell>
          <cell r="G5" t="e">
            <v>#REF!</v>
          </cell>
        </row>
        <row r="6">
          <cell r="C6" t="e">
            <v>#REF!</v>
          </cell>
          <cell r="D6" t="e">
            <v>#REF!</v>
          </cell>
          <cell r="F6" t="e">
            <v>#REF!</v>
          </cell>
          <cell r="G6" t="e">
            <v>#REF!</v>
          </cell>
        </row>
        <row r="7">
          <cell r="C7" t="e">
            <v>#REF!</v>
          </cell>
          <cell r="D7" t="e">
            <v>#REF!</v>
          </cell>
        </row>
        <row r="8">
          <cell r="C8" t="e">
            <v>#REF!</v>
          </cell>
          <cell r="D8" t="e">
            <v>#REF!</v>
          </cell>
        </row>
        <row r="9">
          <cell r="C9" t="e">
            <v>#REF!</v>
          </cell>
          <cell r="D9" t="e">
            <v>#REF!</v>
          </cell>
        </row>
        <row r="10">
          <cell r="C10" t="e">
            <v>#REF!</v>
          </cell>
          <cell r="D10" t="e">
            <v>#REF!</v>
          </cell>
        </row>
        <row r="11">
          <cell r="C11" t="e">
            <v>#REF!</v>
          </cell>
          <cell r="D11" t="e">
            <v>#REF!</v>
          </cell>
        </row>
        <row r="12">
          <cell r="C12" t="e">
            <v>#REF!</v>
          </cell>
          <cell r="D12" t="e">
            <v>#REF!</v>
          </cell>
        </row>
        <row r="13">
          <cell r="C13" t="e">
            <v>#REF!</v>
          </cell>
          <cell r="D13" t="e">
            <v>#REF!</v>
          </cell>
        </row>
        <row r="14">
          <cell r="C14" t="e">
            <v>#REF!</v>
          </cell>
          <cell r="D14" t="e">
            <v>#REF!</v>
          </cell>
        </row>
        <row r="15">
          <cell r="C15" t="e">
            <v>#REF!</v>
          </cell>
          <cell r="D15" t="e">
            <v>#REF!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1.xml"/><Relationship  Id="rId2" Type="http://schemas.openxmlformats.org/officeDocument/2006/relationships/drawing" Target="../drawings/drawing4.xml"/><Relationship  Id="rId3" Type="http://schemas.openxmlformats.org/officeDocument/2006/relationships/vmlDrawing" Target="../drawings/vmlDrawing1.v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2.xml"/><Relationship  Id="rId2" Type="http://schemas.openxmlformats.org/officeDocument/2006/relationships/drawing" Target="../drawings/drawing5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ummaryBelow="1" summaryRight="1" showOutlineSymbols="1"/>
    <pageSetUpPr autoPageBreaks="1" fitToPage="0"/>
  </sheetPr>
  <sheetViews>
    <sheetView showGridLines="0" showRowColHeaders="0" topLeftCell="A5" zoomScale="130" workbookViewId="0">
      <selection activeCell="D6" activeCellId="0" sqref="D6:O6"/>
    </sheetView>
  </sheetViews>
  <sheetFormatPr defaultColWidth="0" defaultRowHeight="14.5" zeroHeight="1"/>
  <cols>
    <col customWidth="1" min="1" max="16" width="9.1796875"/>
    <col hidden="1" min="17" max="16384" width="9.1796875"/>
  </cols>
  <sheetData>
    <row r="5" ht="23">
      <c r="B5" s="1"/>
      <c r="C5" s="1"/>
      <c r="D5" s="2" t="s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23">
      <c r="B6" s="1"/>
      <c r="C6" s="1"/>
      <c r="D6" s="3" t="s">
        <v>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.5">
      <c r="B7" s="1"/>
      <c r="C7" s="1"/>
      <c r="D7" s="4" t="s">
        <v>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5">
      <c r="B8" s="1"/>
      <c r="C8" s="1"/>
      <c r="D8" s="4" t="s">
        <v>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B9" s="1"/>
      <c r="C9" s="1"/>
      <c r="D9" s="5" t="s">
        <v>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5"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5">
    <mergeCell ref="D5:O5"/>
    <mergeCell ref="D6:O6"/>
    <mergeCell ref="D7:O7"/>
    <mergeCell ref="D8:O8"/>
    <mergeCell ref="D9:O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2">
    <outlinePr applyStyles="0" summaryBelow="1" summaryRight="1" showOutlineSymbols="1"/>
    <pageSetUpPr autoPageBreaks="1" fitToPage="0"/>
  </sheetPr>
  <sheetViews>
    <sheetView showGridLines="0" showRowColHeaders="0" zoomScale="100" workbookViewId="0">
      <selection activeCell="A1" activeCellId="0" sqref="A1"/>
    </sheetView>
  </sheetViews>
  <sheetFormatPr defaultColWidth="0" defaultRowHeight="18" customHeight="1" zeroHeight="1"/>
  <cols>
    <col customWidth="1" min="1" max="1" style="8" width="1.81640625"/>
    <col customWidth="1" min="2" max="2" style="9" width="4"/>
    <col customWidth="1" min="3" max="7" style="10" width="3.453125"/>
    <col customWidth="1" min="8" max="8" style="10" width="8.26953125"/>
    <col customWidth="1" min="9" max="9" style="10" width="2"/>
    <col bestFit="1" customWidth="1" min="10" max="10" style="11" width="3.7265625"/>
    <col customWidth="1" min="11" max="11" style="8" width="4.81640625"/>
    <col customWidth="1" min="12" max="16" style="8" width="3.26953125"/>
    <col customWidth="1" min="17" max="17" style="8" width="4.1796875"/>
    <col customWidth="1" min="18" max="20" style="8" width="3.26953125"/>
    <col customWidth="1" min="21" max="21" style="8" width="4"/>
    <col customWidth="1" min="22" max="23" style="8" width="3.26953125"/>
    <col customWidth="1" min="24" max="24" style="8" width="3.81640625"/>
    <col customWidth="1" min="25" max="25" style="8" width="4.81640625"/>
    <col customWidth="1" min="26" max="30" style="8" width="3.26953125"/>
    <col customWidth="1" min="31" max="31" style="8" width="3.54296875"/>
    <col customWidth="1" min="32" max="32" style="8" width="3.1796875"/>
    <col customWidth="1" min="33" max="33" style="8" width="2.26953125"/>
    <col customWidth="1" hidden="1" min="34" max="34" style="8" width="6.453125"/>
    <col customWidth="1" hidden="1" min="35" max="40" style="8" width="3.54296875"/>
    <col hidden="1" min="41" max="16384" style="8" width="4.26953125"/>
  </cols>
  <sheetData>
    <row r="1" s="12" customFormat="1" ht="20.149999999999999" customHeight="1">
      <c r="A1" s="13"/>
      <c r="B1" s="14" t="s">
        <v>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="12" customFormat="1" ht="20.149999999999999" customHeight="1">
      <c r="A2" s="14" t="s">
        <v>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="12" customFormat="1" ht="20.149999999999999" customHeight="1">
      <c r="A3" s="14" t="s">
        <v>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="12" customFormat="1" ht="15.75" customHeight="1">
      <c r="A4" s="8"/>
      <c r="B4" s="9"/>
      <c r="C4" s="10"/>
      <c r="D4" s="10"/>
      <c r="E4" s="10"/>
      <c r="F4" s="10"/>
      <c r="G4" s="10"/>
      <c r="H4" s="10"/>
      <c r="I4" s="10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="12" customFormat="1" ht="18" customHeight="1">
      <c r="A5" s="8"/>
      <c r="B5" s="9" t="s">
        <v>8</v>
      </c>
      <c r="C5" s="10" t="s">
        <v>9</v>
      </c>
      <c r="D5" s="10"/>
      <c r="E5" s="10"/>
      <c r="F5" s="10"/>
      <c r="G5" s="10"/>
      <c r="H5" s="10"/>
      <c r="I5" s="10"/>
      <c r="J5" s="11" t="s">
        <v>10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="12" customFormat="1" ht="5.25" customHeight="1">
      <c r="A6" s="8"/>
      <c r="B6" s="9"/>
      <c r="C6" s="10"/>
      <c r="D6" s="10"/>
      <c r="E6" s="10"/>
      <c r="F6" s="10"/>
      <c r="G6" s="10"/>
      <c r="H6" s="10"/>
      <c r="I6" s="10"/>
      <c r="J6" s="1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="12" customFormat="1" ht="20.149999999999999" customHeight="1">
      <c r="A7" s="8"/>
      <c r="B7" s="9" t="s">
        <v>11</v>
      </c>
      <c r="C7" s="10" t="s">
        <v>12</v>
      </c>
      <c r="D7" s="10"/>
      <c r="E7" s="10"/>
      <c r="F7" s="10"/>
      <c r="G7" s="10"/>
      <c r="H7" s="10"/>
      <c r="I7" s="10"/>
      <c r="J7" s="11" t="s">
        <v>10</v>
      </c>
      <c r="K7" s="8" t="s">
        <v>13</v>
      </c>
      <c r="L7" s="8"/>
      <c r="M7" s="16"/>
      <c r="N7" s="15"/>
      <c r="O7" s="15"/>
      <c r="P7" s="15"/>
      <c r="Q7" s="15"/>
      <c r="R7" s="15"/>
      <c r="S7" s="15"/>
      <c r="T7" s="17"/>
      <c r="U7" s="8" t="s">
        <v>14</v>
      </c>
      <c r="V7" s="8"/>
      <c r="W7" s="8"/>
      <c r="X7" s="16"/>
      <c r="Y7" s="15"/>
      <c r="Z7" s="15"/>
      <c r="AA7" s="15"/>
      <c r="AB7" s="15"/>
      <c r="AC7" s="15"/>
      <c r="AD7" s="15"/>
      <c r="AE7" s="15"/>
      <c r="AF7" s="8"/>
    </row>
    <row r="8" s="12" customFormat="1" ht="6.75" customHeight="1">
      <c r="A8" s="8"/>
      <c r="B8" s="9"/>
      <c r="C8" s="10"/>
      <c r="D8" s="10"/>
      <c r="E8" s="10"/>
      <c r="F8" s="10"/>
      <c r="G8" s="10"/>
      <c r="H8" s="10"/>
      <c r="I8" s="10"/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="12" customFormat="1" ht="22" customHeight="1">
      <c r="A9" s="8"/>
      <c r="B9" s="9" t="s">
        <v>15</v>
      </c>
      <c r="C9" s="8" t="s">
        <v>16</v>
      </c>
      <c r="D9" s="8"/>
      <c r="E9" s="18" t="s">
        <v>17</v>
      </c>
      <c r="F9" s="10" t="s">
        <v>18</v>
      </c>
      <c r="G9" s="10"/>
      <c r="H9" s="10"/>
      <c r="I9" s="8"/>
      <c r="J9" s="11" t="s">
        <v>10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="12" customFormat="1" ht="6.75" customHeight="1">
      <c r="A10" s="8"/>
      <c r="B10" s="9"/>
      <c r="C10" s="10"/>
      <c r="D10" s="10"/>
      <c r="E10" s="10"/>
      <c r="F10" s="10"/>
      <c r="G10" s="10"/>
      <c r="H10" s="10"/>
      <c r="I10" s="10"/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="12" customFormat="1" ht="18" customHeight="1">
      <c r="A11" s="8"/>
      <c r="B11" s="9" t="s">
        <v>19</v>
      </c>
      <c r="C11" s="10" t="s">
        <v>20</v>
      </c>
      <c r="D11" s="10"/>
      <c r="E11" s="10"/>
      <c r="F11" s="10"/>
      <c r="G11" s="10"/>
      <c r="H11" s="10"/>
      <c r="I11" s="10"/>
      <c r="J11" s="11" t="s">
        <v>10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9" t="s">
        <v>21</v>
      </c>
      <c r="V11" s="20"/>
      <c r="W11" s="15"/>
      <c r="X11" s="15"/>
      <c r="Y11" s="21" t="s">
        <v>22</v>
      </c>
      <c r="Z11" s="20"/>
      <c r="AA11" s="15"/>
      <c r="AB11" s="15"/>
      <c r="AC11" s="21" t="s">
        <v>23</v>
      </c>
      <c r="AD11" s="20"/>
      <c r="AE11" s="15"/>
      <c r="AF11" s="15"/>
    </row>
    <row r="12" s="12" customFormat="1" ht="8.1500000000000004" customHeight="1">
      <c r="A12" s="8"/>
      <c r="B12" s="9"/>
      <c r="C12" s="10"/>
      <c r="D12" s="10"/>
      <c r="E12" s="10"/>
      <c r="F12" s="10"/>
      <c r="G12" s="10"/>
      <c r="H12" s="10"/>
      <c r="I12" s="10"/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="12" customFormat="1" ht="18" customHeight="1">
      <c r="A13" s="8"/>
      <c r="B13" s="9" t="s">
        <v>24</v>
      </c>
      <c r="C13" s="10" t="s">
        <v>25</v>
      </c>
      <c r="D13" s="10"/>
      <c r="E13" s="10"/>
      <c r="F13" s="10"/>
      <c r="G13" s="10"/>
      <c r="H13" s="10"/>
      <c r="I13" s="10"/>
      <c r="J13" s="11" t="s">
        <v>10</v>
      </c>
      <c r="K13" s="22" t="s">
        <v>26</v>
      </c>
      <c r="L13" s="22" t="s">
        <v>27</v>
      </c>
      <c r="M13" s="22" t="s">
        <v>28</v>
      </c>
      <c r="N13" s="22" t="s">
        <v>29</v>
      </c>
      <c r="O13" s="22" t="s">
        <v>30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="12" customFormat="1" ht="8.1500000000000004" customHeight="1">
      <c r="A14" s="8"/>
      <c r="B14" s="9"/>
      <c r="C14" s="10"/>
      <c r="D14" s="10"/>
      <c r="E14" s="10"/>
      <c r="F14" s="10"/>
      <c r="G14" s="10"/>
      <c r="H14" s="10"/>
      <c r="I14" s="10"/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="12" customFormat="1" ht="18" customHeight="1">
      <c r="A15" s="8"/>
      <c r="B15" s="9" t="s">
        <v>31</v>
      </c>
      <c r="C15" s="10" t="s">
        <v>32</v>
      </c>
      <c r="D15" s="10"/>
      <c r="E15" s="10"/>
      <c r="F15" s="10"/>
      <c r="G15" s="10"/>
      <c r="H15" s="10"/>
      <c r="I15" s="10"/>
      <c r="J15" s="11" t="s">
        <v>10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="12" customFormat="1" ht="8.1500000000000004" customHeight="1">
      <c r="A16" s="8"/>
      <c r="B16" s="9"/>
      <c r="C16" s="10"/>
      <c r="D16" s="10"/>
      <c r="E16" s="10"/>
      <c r="F16" s="10"/>
      <c r="G16" s="10"/>
      <c r="H16" s="10"/>
      <c r="I16" s="10"/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="12" customFormat="1" ht="18" customHeight="1">
      <c r="A17" s="8"/>
      <c r="B17" s="9"/>
      <c r="C17" s="10"/>
      <c r="D17" s="10"/>
      <c r="E17" s="10"/>
      <c r="F17" s="10"/>
      <c r="G17" s="10"/>
      <c r="H17" s="10"/>
      <c r="I17" s="10"/>
      <c r="J17" s="1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9" t="s">
        <v>33</v>
      </c>
      <c r="Z17" s="19"/>
      <c r="AA17" s="15"/>
      <c r="AB17" s="15"/>
      <c r="AC17" s="21" t="s">
        <v>34</v>
      </c>
      <c r="AD17" s="20"/>
      <c r="AE17" s="15"/>
      <c r="AF17" s="15"/>
    </row>
    <row r="18" s="12" customFormat="1" ht="8.1500000000000004" customHeight="1">
      <c r="A18" s="8"/>
      <c r="B18" s="9"/>
      <c r="C18" s="10"/>
      <c r="D18" s="10"/>
      <c r="E18" s="10"/>
      <c r="F18" s="10"/>
      <c r="G18" s="10"/>
      <c r="H18" s="10"/>
      <c r="I18" s="10"/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9"/>
      <c r="X18" s="19"/>
      <c r="Y18" s="8"/>
      <c r="Z18" s="8"/>
      <c r="AA18" s="19"/>
      <c r="AB18" s="19"/>
      <c r="AC18" s="8"/>
      <c r="AD18" s="8"/>
      <c r="AE18" s="8"/>
      <c r="AF18" s="8"/>
    </row>
    <row r="19" s="12" customFormat="1" ht="18" customHeight="1">
      <c r="A19" s="8"/>
      <c r="B19" s="9" t="s">
        <v>35</v>
      </c>
      <c r="C19" s="10" t="s">
        <v>36</v>
      </c>
      <c r="D19" s="10"/>
      <c r="E19" s="10"/>
      <c r="F19" s="10"/>
      <c r="G19" s="10"/>
      <c r="H19" s="10"/>
      <c r="I19" s="10"/>
      <c r="J19" s="11" t="s">
        <v>10</v>
      </c>
      <c r="K19" s="24" t="s">
        <v>37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8"/>
      <c r="AE19" s="8"/>
      <c r="AF19" s="8"/>
    </row>
    <row r="20" s="12" customFormat="1" ht="6" customHeight="1">
      <c r="A20" s="8"/>
      <c r="B20" s="9"/>
      <c r="C20" s="10"/>
      <c r="D20" s="10"/>
      <c r="E20" s="10"/>
      <c r="F20" s="10"/>
      <c r="G20" s="10"/>
      <c r="H20" s="10"/>
      <c r="I20" s="10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8"/>
      <c r="AE20" s="8"/>
      <c r="AF20" s="8"/>
    </row>
    <row r="21" s="12" customFormat="1" ht="20.149999999999999" customHeight="1">
      <c r="A21" s="8"/>
      <c r="B21" s="9" t="s">
        <v>38</v>
      </c>
      <c r="C21" s="10" t="s">
        <v>39</v>
      </c>
      <c r="D21" s="10"/>
      <c r="E21" s="10"/>
      <c r="F21" s="10"/>
      <c r="G21" s="10"/>
      <c r="H21" s="10"/>
      <c r="I21" s="8"/>
      <c r="J21" s="11" t="s">
        <v>10</v>
      </c>
      <c r="K21" s="25"/>
      <c r="L21" s="26"/>
      <c r="M21" s="11" t="s">
        <v>40</v>
      </c>
      <c r="N21" s="11"/>
      <c r="O21" s="11"/>
      <c r="P21" s="8"/>
      <c r="Q21" s="8"/>
      <c r="R21" s="8"/>
      <c r="S21" s="15"/>
      <c r="T21" s="8"/>
      <c r="U21" s="11" t="s">
        <v>41</v>
      </c>
      <c r="V21" s="11"/>
      <c r="W21" s="11"/>
      <c r="X21" s="8"/>
      <c r="Y21" s="8"/>
      <c r="Z21" s="8"/>
      <c r="AA21" s="8"/>
      <c r="AB21" s="8"/>
      <c r="AC21" s="8"/>
      <c r="AD21" s="8"/>
      <c r="AE21" s="8"/>
      <c r="AF21" s="8"/>
    </row>
    <row r="22" s="12" customFormat="1" ht="6.75" customHeight="1">
      <c r="A22" s="8"/>
      <c r="B22" s="9"/>
      <c r="C22" s="10"/>
      <c r="D22" s="10"/>
      <c r="E22" s="10"/>
      <c r="F22" s="10"/>
      <c r="G22" s="10"/>
      <c r="H22" s="10"/>
      <c r="I22" s="8"/>
      <c r="J22" s="11"/>
      <c r="K22" s="26"/>
      <c r="L22" s="26"/>
      <c r="M22" s="11"/>
      <c r="N22" s="11"/>
      <c r="O22" s="11"/>
      <c r="P22" s="8"/>
      <c r="Q22" s="8"/>
      <c r="R22" s="8"/>
      <c r="S22" s="8"/>
      <c r="T22" s="8"/>
      <c r="U22" s="11"/>
      <c r="V22" s="11"/>
      <c r="W22" s="11"/>
      <c r="X22" s="8"/>
      <c r="Y22" s="8"/>
      <c r="Z22" s="8"/>
      <c r="AA22" s="8"/>
      <c r="AB22" s="8"/>
      <c r="AC22" s="8"/>
      <c r="AD22" s="8"/>
      <c r="AE22" s="8"/>
      <c r="AF22" s="8"/>
    </row>
    <row r="23" s="12" customFormat="1" ht="20.149999999999999" customHeight="1">
      <c r="A23" s="8"/>
      <c r="B23" s="9" t="s">
        <v>42</v>
      </c>
      <c r="C23" s="10" t="s">
        <v>43</v>
      </c>
      <c r="D23" s="10"/>
      <c r="E23" s="10"/>
      <c r="F23" s="10"/>
      <c r="G23" s="10"/>
      <c r="H23" s="10"/>
      <c r="I23" s="10"/>
      <c r="J23" s="11" t="s">
        <v>10</v>
      </c>
      <c r="K23" s="27" t="s">
        <v>44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8"/>
      <c r="Z23" s="8"/>
      <c r="AA23" s="8"/>
      <c r="AB23" s="8"/>
      <c r="AC23" s="8"/>
      <c r="AD23" s="8"/>
      <c r="AE23" s="8"/>
      <c r="AF23" s="8"/>
    </row>
    <row r="24" s="12" customFormat="1" ht="6.75" customHeight="1">
      <c r="A24" s="8"/>
      <c r="B24" s="9"/>
      <c r="C24" s="10"/>
      <c r="D24" s="10"/>
      <c r="E24" s="10"/>
      <c r="F24" s="10"/>
      <c r="G24" s="10"/>
      <c r="H24" s="10"/>
      <c r="I24" s="10"/>
      <c r="J24" s="11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8"/>
      <c r="Z24" s="8"/>
      <c r="AA24" s="8"/>
      <c r="AB24" s="8"/>
      <c r="AC24" s="8"/>
      <c r="AD24" s="8"/>
      <c r="AE24" s="8"/>
      <c r="AF24" s="8"/>
    </row>
    <row r="25" s="12" customFormat="1" ht="20.149999999999999" customHeight="1">
      <c r="A25" s="8"/>
      <c r="B25" s="9" t="s">
        <v>45</v>
      </c>
      <c r="C25" s="10" t="s">
        <v>46</v>
      </c>
      <c r="D25" s="10"/>
      <c r="E25" s="10"/>
      <c r="F25" s="10"/>
      <c r="G25" s="10"/>
      <c r="H25" s="10"/>
      <c r="I25" s="10"/>
      <c r="J25" s="11" t="s">
        <v>10</v>
      </c>
      <c r="K25" s="8" t="s">
        <v>47</v>
      </c>
      <c r="L25" s="15"/>
      <c r="M25" s="15"/>
      <c r="N25" s="8"/>
      <c r="O25" s="8" t="s">
        <v>48</v>
      </c>
      <c r="P25" s="8"/>
      <c r="Q25" s="15"/>
      <c r="R25" s="15"/>
      <c r="S25" s="8"/>
      <c r="T25" s="8" t="s">
        <v>49</v>
      </c>
      <c r="U25" s="8"/>
      <c r="V25" s="15"/>
      <c r="W25" s="15"/>
      <c r="X25" s="15"/>
      <c r="Y25" s="15"/>
      <c r="Z25" s="8"/>
      <c r="AA25" s="8"/>
      <c r="AB25" s="8"/>
      <c r="AC25" s="8"/>
      <c r="AD25" s="8"/>
      <c r="AE25" s="8"/>
      <c r="AF25" s="8"/>
    </row>
    <row r="26" s="12" customFormat="1" ht="20.149999999999999" customHeight="1">
      <c r="A26" s="8"/>
      <c r="B26" s="9"/>
      <c r="C26" s="10"/>
      <c r="D26" s="10"/>
      <c r="E26" s="10"/>
      <c r="F26" s="10"/>
      <c r="G26" s="10"/>
      <c r="H26" s="10"/>
      <c r="I26" s="10"/>
      <c r="J26" s="11"/>
      <c r="K26" s="29" t="s">
        <v>50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8"/>
    </row>
    <row r="27" s="12" customFormat="1" ht="4.5" customHeight="1">
      <c r="A27" s="8"/>
      <c r="B27" s="9"/>
      <c r="C27" s="10"/>
      <c r="D27" s="10"/>
      <c r="E27" s="10"/>
      <c r="F27" s="10"/>
      <c r="G27" s="10"/>
      <c r="H27" s="10"/>
      <c r="I27" s="10"/>
      <c r="J27" s="11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8"/>
    </row>
    <row r="28" s="12" customFormat="1" ht="20.149999999999999" customHeight="1">
      <c r="A28" s="8"/>
      <c r="B28" s="9" t="s">
        <v>51</v>
      </c>
      <c r="C28" s="10" t="s">
        <v>52</v>
      </c>
      <c r="D28" s="10"/>
      <c r="E28" s="10"/>
      <c r="F28" s="10"/>
      <c r="G28" s="10"/>
      <c r="H28" s="10"/>
      <c r="I28" s="10"/>
      <c r="J28" s="11" t="s">
        <v>10</v>
      </c>
      <c r="K28" s="8" t="s">
        <v>47</v>
      </c>
      <c r="L28" s="15"/>
      <c r="M28" s="15"/>
      <c r="N28" s="8"/>
      <c r="O28" s="8" t="s">
        <v>48</v>
      </c>
      <c r="P28" s="8"/>
      <c r="Q28" s="15"/>
      <c r="R28" s="15"/>
      <c r="S28" s="8"/>
      <c r="T28" s="8" t="s">
        <v>49</v>
      </c>
      <c r="U28" s="8"/>
      <c r="V28" s="15"/>
      <c r="W28" s="15"/>
      <c r="X28" s="15"/>
      <c r="Y28" s="15"/>
      <c r="Z28" s="8"/>
      <c r="AA28" s="8"/>
      <c r="AB28" s="8"/>
      <c r="AC28" s="8"/>
      <c r="AD28" s="8"/>
      <c r="AE28" s="8"/>
      <c r="AF28" s="8"/>
    </row>
    <row r="29" s="12" customFormat="1" ht="7.5" customHeight="1">
      <c r="A29" s="8"/>
      <c r="B29" s="9"/>
      <c r="C29" s="10"/>
      <c r="D29" s="10"/>
      <c r="E29" s="10"/>
      <c r="F29" s="10"/>
      <c r="G29" s="10"/>
      <c r="H29" s="10"/>
      <c r="I29" s="1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="12" customFormat="1" ht="20.149999999999999" customHeight="1">
      <c r="A30" s="8"/>
      <c r="B30" s="8" t="s">
        <v>53</v>
      </c>
      <c r="C30" s="10" t="s">
        <v>54</v>
      </c>
      <c r="D30" s="10"/>
      <c r="E30" s="10"/>
      <c r="F30" s="10"/>
      <c r="G30" s="10"/>
      <c r="H30" s="10"/>
      <c r="I30" s="10"/>
      <c r="J30" s="11" t="s">
        <v>10</v>
      </c>
      <c r="K30" s="8" t="s">
        <v>47</v>
      </c>
      <c r="L30" s="15"/>
      <c r="M30" s="15"/>
      <c r="N30" s="8"/>
      <c r="O30" s="8" t="s">
        <v>48</v>
      </c>
      <c r="P30" s="8"/>
      <c r="Q30" s="15"/>
      <c r="R30" s="15"/>
      <c r="S30" s="8"/>
      <c r="T30" s="8" t="s">
        <v>49</v>
      </c>
      <c r="U30" s="8"/>
      <c r="V30" s="15"/>
      <c r="W30" s="15"/>
      <c r="X30" s="15"/>
      <c r="Y30" s="15"/>
      <c r="Z30" s="8"/>
      <c r="AA30" s="8"/>
      <c r="AB30" s="8"/>
      <c r="AC30" s="8"/>
      <c r="AD30" s="8"/>
      <c r="AE30" s="8"/>
      <c r="AF30" s="8"/>
    </row>
    <row r="31" s="12" customFormat="1" ht="6" customHeight="1">
      <c r="A31" s="8"/>
      <c r="B31" s="9"/>
      <c r="C31" s="10"/>
      <c r="D31" s="10"/>
      <c r="E31" s="10"/>
      <c r="F31" s="10"/>
      <c r="G31" s="10"/>
      <c r="H31" s="10"/>
      <c r="I31" s="10"/>
      <c r="J31" s="1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="12" customFormat="1" ht="20.149999999999999" customHeight="1">
      <c r="A32" s="8"/>
      <c r="B32" s="9" t="s">
        <v>55</v>
      </c>
      <c r="C32" s="10" t="s">
        <v>56</v>
      </c>
      <c r="D32" s="10"/>
      <c r="E32" s="10"/>
      <c r="F32" s="10"/>
      <c r="G32" s="10"/>
      <c r="H32" s="10"/>
      <c r="I32" s="10"/>
      <c r="J32" s="11" t="s">
        <v>10</v>
      </c>
      <c r="K32" s="15"/>
      <c r="L32" s="30" t="s">
        <v>57</v>
      </c>
      <c r="M32" s="10"/>
      <c r="N32" s="10"/>
      <c r="O32" s="10"/>
      <c r="P32" s="10"/>
      <c r="Q32" s="15"/>
      <c r="R32" s="15"/>
      <c r="S32" s="15"/>
      <c r="T32" s="15"/>
      <c r="U32" s="31"/>
      <c r="V32" s="8"/>
      <c r="W32" s="15"/>
      <c r="X32" s="30" t="s">
        <v>58</v>
      </c>
      <c r="Y32" s="10"/>
      <c r="Z32" s="10"/>
      <c r="AA32" s="8"/>
      <c r="AB32" s="8"/>
      <c r="AC32" s="8"/>
      <c r="AD32" s="8"/>
      <c r="AE32" s="8"/>
      <c r="AF32" s="8"/>
    </row>
    <row r="33" s="12" customFormat="1" ht="8.1500000000000004" customHeight="1">
      <c r="A33" s="8"/>
      <c r="B33" s="9"/>
      <c r="C33" s="10"/>
      <c r="D33" s="10"/>
      <c r="E33" s="10"/>
      <c r="F33" s="10"/>
      <c r="G33" s="10"/>
      <c r="H33" s="10"/>
      <c r="I33" s="10"/>
      <c r="J33" s="11"/>
      <c r="K33" s="8"/>
      <c r="L33" s="10"/>
      <c r="M33" s="10"/>
      <c r="N33" s="10"/>
      <c r="O33" s="10"/>
      <c r="P33" s="10"/>
      <c r="Q33" s="8"/>
      <c r="R33" s="8"/>
      <c r="S33" s="8"/>
      <c r="T33" s="8"/>
      <c r="U33" s="8"/>
      <c r="V33" s="8"/>
      <c r="W33" s="8"/>
      <c r="X33" s="10"/>
      <c r="Y33" s="10"/>
      <c r="Z33" s="10"/>
      <c r="AA33" s="8"/>
      <c r="AB33" s="8"/>
      <c r="AC33" s="8"/>
      <c r="AD33" s="8"/>
      <c r="AE33" s="8"/>
      <c r="AF33" s="8"/>
    </row>
    <row r="34" s="12" customFormat="1" ht="18" customHeight="1">
      <c r="A34" s="8"/>
      <c r="B34" s="9" t="s">
        <v>59</v>
      </c>
      <c r="C34" s="10" t="s">
        <v>60</v>
      </c>
      <c r="D34" s="10"/>
      <c r="E34" s="10"/>
      <c r="F34" s="10"/>
      <c r="G34" s="10"/>
      <c r="H34" s="10"/>
      <c r="I34" s="8"/>
      <c r="J34" s="32" t="s">
        <v>10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33"/>
      <c r="AC34" s="34"/>
      <c r="AD34" s="34"/>
      <c r="AE34" s="34"/>
      <c r="AF34" s="8"/>
    </row>
    <row r="35" s="12" customFormat="1" ht="8.1500000000000004" customHeight="1">
      <c r="A35" s="8"/>
      <c r="B35" s="9"/>
      <c r="C35" s="10"/>
      <c r="D35" s="10"/>
      <c r="E35" s="10"/>
      <c r="F35" s="10"/>
      <c r="G35" s="10"/>
      <c r="H35" s="10"/>
      <c r="I35" s="10"/>
      <c r="J35" s="11"/>
      <c r="K35" s="8"/>
      <c r="L35" s="10"/>
      <c r="M35" s="10"/>
      <c r="N35" s="10"/>
      <c r="O35" s="10"/>
      <c r="P35" s="10"/>
      <c r="Q35" s="8"/>
      <c r="R35" s="8"/>
      <c r="S35" s="8"/>
      <c r="T35" s="8"/>
      <c r="U35" s="8"/>
      <c r="V35" s="8"/>
      <c r="W35" s="8"/>
      <c r="X35" s="10"/>
      <c r="Y35" s="10"/>
      <c r="Z35" s="10"/>
      <c r="AA35" s="8"/>
      <c r="AB35" s="8"/>
      <c r="AC35" s="8"/>
      <c r="AD35" s="8"/>
      <c r="AE35" s="8"/>
      <c r="AF35" s="8"/>
    </row>
    <row r="36" s="12" customFormat="1" ht="20.149999999999999" customHeight="1">
      <c r="A36" s="8"/>
      <c r="B36" s="9" t="s">
        <v>61</v>
      </c>
      <c r="C36" s="10" t="s">
        <v>62</v>
      </c>
      <c r="D36" s="10"/>
      <c r="E36" s="10"/>
      <c r="F36" s="10"/>
      <c r="G36" s="10"/>
      <c r="H36" s="10"/>
      <c r="I36" s="11"/>
      <c r="J36" s="32" t="s">
        <v>10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33"/>
      <c r="AC36" s="34"/>
      <c r="AD36" s="34"/>
      <c r="AE36" s="34"/>
      <c r="AF36" s="8"/>
    </row>
    <row r="37" s="12" customFormat="1" ht="8.1500000000000004" customHeight="1">
      <c r="A37" s="8"/>
      <c r="B37" s="9"/>
      <c r="C37" s="10"/>
      <c r="D37" s="10"/>
      <c r="E37" s="10"/>
      <c r="F37" s="10"/>
      <c r="G37" s="10"/>
      <c r="H37" s="10"/>
      <c r="I37" s="1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="12" customFormat="1" ht="20.149999999999999" customHeight="1">
      <c r="A38" s="8"/>
      <c r="B38" s="9" t="s">
        <v>61</v>
      </c>
      <c r="C38" s="10" t="s">
        <v>63</v>
      </c>
      <c r="D38" s="10"/>
      <c r="E38" s="10"/>
      <c r="F38" s="10"/>
      <c r="G38" s="10"/>
      <c r="H38" s="10"/>
      <c r="I38" s="11"/>
      <c r="J38" s="32" t="s">
        <v>10</v>
      </c>
      <c r="K38" s="15"/>
      <c r="L38" s="8"/>
      <c r="M38" s="10">
        <v>1</v>
      </c>
      <c r="N38" s="10" t="s">
        <v>64</v>
      </c>
      <c r="O38" s="10"/>
      <c r="P38" s="10"/>
      <c r="Q38" s="10">
        <v>2</v>
      </c>
      <c r="R38" s="10" t="s">
        <v>58</v>
      </c>
      <c r="S38" s="10"/>
      <c r="T38" s="10"/>
      <c r="U38" s="10" t="s">
        <v>65</v>
      </c>
      <c r="V38" s="10"/>
      <c r="W38" s="10"/>
      <c r="X38" s="35"/>
      <c r="Y38" s="36"/>
      <c r="Z38" s="36"/>
      <c r="AA38" s="36"/>
      <c r="AB38" s="36"/>
      <c r="AC38" s="36"/>
      <c r="AD38" s="36"/>
      <c r="AE38" s="36"/>
      <c r="AF38" s="37"/>
    </row>
    <row r="39" s="12" customFormat="1" ht="8.1500000000000004" customHeight="1">
      <c r="A39" s="8"/>
      <c r="B39" s="9"/>
      <c r="C39" s="10"/>
      <c r="D39" s="10"/>
      <c r="E39" s="10"/>
      <c r="F39" s="10"/>
      <c r="G39" s="10"/>
      <c r="H39" s="10"/>
      <c r="I39" s="11"/>
      <c r="J39" s="32"/>
      <c r="K39" s="8"/>
      <c r="L39" s="19"/>
      <c r="M39" s="19"/>
      <c r="N39" s="19"/>
      <c r="O39" s="8"/>
      <c r="P39" s="19"/>
      <c r="Q39" s="19"/>
      <c r="R39" s="19"/>
      <c r="S39" s="19"/>
      <c r="T39" s="8"/>
      <c r="U39" s="8"/>
      <c r="V39" s="8"/>
      <c r="W39" s="8"/>
      <c r="X39" s="8"/>
      <c r="Y39" s="8"/>
      <c r="Z39" s="8"/>
      <c r="AA39" s="8"/>
      <c r="AB39" s="38"/>
      <c r="AC39" s="28"/>
      <c r="AD39" s="28"/>
      <c r="AE39" s="28"/>
      <c r="AF39" s="8"/>
    </row>
    <row r="40" s="12" customFormat="1" ht="20.149999999999999" customHeight="1">
      <c r="A40" s="8"/>
      <c r="B40" s="9"/>
      <c r="C40" s="10"/>
      <c r="D40" s="10"/>
      <c r="E40" s="10"/>
      <c r="F40" s="10"/>
      <c r="G40" s="10"/>
      <c r="H40" s="10"/>
      <c r="I40" s="11"/>
      <c r="J40" s="32"/>
      <c r="K40" s="10" t="s">
        <v>66</v>
      </c>
      <c r="L40" s="10"/>
      <c r="M40" s="10"/>
      <c r="N40" s="10"/>
      <c r="O40" s="10"/>
      <c r="P40" s="10"/>
      <c r="Q40" s="10"/>
      <c r="R40" s="10"/>
      <c r="S40" s="10"/>
      <c r="T40" s="35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</row>
    <row r="41" s="12" customFormat="1" ht="8.1500000000000004" customHeight="1">
      <c r="A41" s="8"/>
      <c r="B41" s="9"/>
      <c r="C41" s="10"/>
      <c r="D41" s="10"/>
      <c r="E41" s="10"/>
      <c r="F41" s="10"/>
      <c r="G41" s="10"/>
      <c r="H41" s="10"/>
      <c r="I41" s="1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="12" customFormat="1" ht="20.149999999999999" customHeight="1">
      <c r="A42" s="8"/>
      <c r="B42" s="9" t="s">
        <v>59</v>
      </c>
      <c r="C42" s="10" t="s">
        <v>67</v>
      </c>
      <c r="D42" s="10"/>
      <c r="E42" s="10"/>
      <c r="F42" s="10"/>
      <c r="G42" s="10"/>
      <c r="H42" s="10"/>
      <c r="I42" s="8"/>
      <c r="J42" s="11" t="s">
        <v>10</v>
      </c>
      <c r="K42" s="35"/>
      <c r="L42" s="37"/>
      <c r="M42" s="8"/>
      <c r="N42" s="19" t="s">
        <v>68</v>
      </c>
      <c r="O42" s="19"/>
      <c r="P42" s="19"/>
      <c r="Q42" s="19"/>
      <c r="R42" s="19"/>
      <c r="S42" s="35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7"/>
      <c r="AF42" s="8"/>
    </row>
    <row r="43" s="12" customFormat="1" ht="7.5" customHeight="1">
      <c r="A43" s="8"/>
      <c r="B43" s="9"/>
      <c r="C43" s="10"/>
      <c r="D43" s="10"/>
      <c r="E43" s="10"/>
      <c r="F43" s="10"/>
      <c r="G43" s="10"/>
      <c r="H43" s="10"/>
      <c r="I43" s="8"/>
      <c r="J43" s="1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="12" customFormat="1" ht="20.149999999999999" customHeight="1">
      <c r="A44" s="8"/>
      <c r="B44" s="19">
        <v>15</v>
      </c>
      <c r="C44" s="10" t="s">
        <v>69</v>
      </c>
      <c r="D44" s="10"/>
      <c r="E44" s="10"/>
      <c r="F44" s="10"/>
      <c r="G44" s="10"/>
      <c r="H44" s="10"/>
      <c r="I44" s="8"/>
      <c r="J44" s="11" t="s">
        <v>10</v>
      </c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8"/>
    </row>
    <row r="45" s="12" customFormat="1" ht="8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="12" customFormat="1" ht="20.149999999999999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8"/>
    </row>
    <row r="47" s="12" customFormat="1" ht="7.5" customHeight="1">
      <c r="A47" s="8"/>
      <c r="B47" s="9"/>
      <c r="C47" s="10"/>
      <c r="D47" s="10"/>
      <c r="E47" s="10"/>
      <c r="F47" s="10"/>
      <c r="G47" s="10"/>
      <c r="H47" s="10"/>
      <c r="I47" s="10"/>
      <c r="J47" s="1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="12" customFormat="1" ht="18" customHeight="1">
      <c r="A48" s="8"/>
      <c r="B48" s="9" t="s">
        <v>70</v>
      </c>
      <c r="C48" s="10" t="s">
        <v>71</v>
      </c>
      <c r="D48" s="10"/>
      <c r="E48" s="10"/>
      <c r="F48" s="10"/>
      <c r="G48" s="10"/>
      <c r="H48" s="10"/>
      <c r="I48" s="10"/>
      <c r="J48" s="11" t="s">
        <v>10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s="12" customFormat="1" ht="8.1500000000000004" customHeight="1">
      <c r="A49" s="8"/>
      <c r="B49" s="9"/>
      <c r="C49" s="10"/>
      <c r="D49" s="10"/>
      <c r="E49" s="10"/>
      <c r="F49" s="10"/>
      <c r="G49" s="10"/>
      <c r="H49" s="10"/>
      <c r="I49" s="10"/>
      <c r="J49" s="1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="12" customFormat="1" ht="20.149999999999999" customHeight="1">
      <c r="A50" s="8"/>
      <c r="B50" s="9" t="s">
        <v>72</v>
      </c>
      <c r="C50" s="10" t="s">
        <v>73</v>
      </c>
      <c r="D50" s="10"/>
      <c r="E50" s="10"/>
      <c r="F50" s="10"/>
      <c r="G50" s="10"/>
      <c r="H50" s="10"/>
      <c r="I50" s="10"/>
      <c r="J50" s="11" t="s">
        <v>10</v>
      </c>
      <c r="K50" s="15"/>
      <c r="L50" s="17" t="s">
        <v>74</v>
      </c>
      <c r="M50" s="8"/>
      <c r="N50" s="8"/>
      <c r="O50" s="8"/>
      <c r="P50" s="15"/>
      <c r="Q50" s="40" t="s">
        <v>75</v>
      </c>
      <c r="R50" s="41"/>
      <c r="S50" s="41"/>
      <c r="T50" s="8"/>
      <c r="U50" s="8"/>
      <c r="V50" s="15"/>
      <c r="W50" s="40" t="s">
        <v>76</v>
      </c>
      <c r="X50" s="41"/>
      <c r="Y50" s="8"/>
      <c r="Z50" s="8"/>
      <c r="AA50" s="8"/>
      <c r="AB50" s="8"/>
      <c r="AC50" s="8"/>
      <c r="AD50" s="8"/>
      <c r="AE50" s="8"/>
      <c r="AF50" s="8"/>
    </row>
    <row r="51" s="12" customFormat="1" ht="8.1500000000000004" customHeight="1">
      <c r="A51" s="8"/>
      <c r="B51" s="9"/>
      <c r="C51" s="10"/>
      <c r="D51" s="10"/>
      <c r="E51" s="10"/>
      <c r="F51" s="10"/>
      <c r="G51" s="10"/>
      <c r="H51" s="10"/>
      <c r="I51" s="11"/>
      <c r="J51" s="8"/>
      <c r="K51" s="41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="12" customFormat="1" ht="18" customHeight="1">
      <c r="A52" s="8"/>
      <c r="B52" s="9" t="s">
        <v>77</v>
      </c>
      <c r="C52" s="10" t="s">
        <v>78</v>
      </c>
      <c r="D52" s="10"/>
      <c r="E52" s="10"/>
      <c r="F52" s="10"/>
      <c r="G52" s="10"/>
      <c r="H52" s="10"/>
      <c r="I52" s="10"/>
      <c r="J52" s="11" t="s">
        <v>10</v>
      </c>
      <c r="K52" s="31" t="s">
        <v>79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="12" customFormat="1" ht="8.1500000000000004" customHeight="1">
      <c r="A53" s="8"/>
      <c r="B53" s="9"/>
      <c r="C53" s="10"/>
      <c r="D53" s="10"/>
      <c r="E53" s="10"/>
      <c r="F53" s="10"/>
      <c r="G53" s="10"/>
      <c r="H53" s="10"/>
      <c r="I53" s="10"/>
      <c r="J53" s="1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="12" customFormat="1" ht="18" customHeight="1">
      <c r="A54" s="8"/>
      <c r="B54" s="9" t="s">
        <v>80</v>
      </c>
      <c r="C54" s="10" t="s">
        <v>81</v>
      </c>
      <c r="D54" s="10"/>
      <c r="E54" s="10"/>
      <c r="F54" s="10"/>
      <c r="G54" s="10"/>
      <c r="H54" s="10"/>
      <c r="I54" s="10"/>
      <c r="J54" s="1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="12" customFormat="1" ht="18" customHeight="1">
      <c r="A55" s="8"/>
      <c r="B55" s="42" t="s">
        <v>82</v>
      </c>
      <c r="C55" s="42" t="s">
        <v>83</v>
      </c>
      <c r="D55" s="42"/>
      <c r="E55" s="42"/>
      <c r="F55" s="42"/>
      <c r="G55" s="42"/>
      <c r="H55" s="43" t="s">
        <v>68</v>
      </c>
      <c r="I55" s="43"/>
      <c r="J55" s="43"/>
      <c r="K55" s="43"/>
      <c r="L55" s="43"/>
      <c r="M55" s="43"/>
      <c r="N55" s="43"/>
      <c r="O55" s="43"/>
      <c r="P55" s="43"/>
      <c r="Q55" s="43"/>
      <c r="R55" s="43" t="s">
        <v>84</v>
      </c>
      <c r="S55" s="43"/>
      <c r="T55" s="43"/>
      <c r="U55" s="43"/>
      <c r="V55" s="43"/>
      <c r="W55" s="43"/>
      <c r="X55" s="43"/>
      <c r="Y55" s="43" t="s">
        <v>85</v>
      </c>
      <c r="Z55" s="43"/>
      <c r="AA55" s="43"/>
      <c r="AB55" s="43"/>
      <c r="AC55" s="43"/>
      <c r="AD55" s="43"/>
      <c r="AE55" s="43"/>
      <c r="AF55" s="43"/>
    </row>
    <row r="56" s="12" customFormat="1" ht="18" customHeight="1">
      <c r="A56" s="8"/>
      <c r="B56" s="44" t="s">
        <v>8</v>
      </c>
      <c r="C56" s="45"/>
      <c r="D56" s="45"/>
      <c r="E56" s="45"/>
      <c r="F56" s="45"/>
      <c r="G56" s="45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s="12" customFormat="1" ht="18" customHeight="1">
      <c r="A57" s="8"/>
      <c r="B57" s="47" t="s">
        <v>11</v>
      </c>
      <c r="C57" s="48"/>
      <c r="D57" s="48"/>
      <c r="E57" s="48"/>
      <c r="F57" s="48"/>
      <c r="G57" s="48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="12" customFormat="1" ht="18" customHeight="1">
      <c r="A58" s="8"/>
      <c r="B58" s="47" t="s">
        <v>15</v>
      </c>
      <c r="C58" s="48"/>
      <c r="D58" s="48"/>
      <c r="E58" s="48"/>
      <c r="F58" s="48"/>
      <c r="G58" s="48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</row>
    <row r="59" s="12" customFormat="1" ht="18" customHeight="1">
      <c r="A59" s="8"/>
      <c r="B59" s="47" t="s">
        <v>19</v>
      </c>
      <c r="C59" s="48"/>
      <c r="D59" s="48"/>
      <c r="E59" s="48"/>
      <c r="F59" s="48"/>
      <c r="G59" s="48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</row>
    <row r="60" s="12" customFormat="1" ht="18" customHeight="1">
      <c r="A60" s="8"/>
      <c r="B60" s="47" t="s">
        <v>24</v>
      </c>
      <c r="C60" s="48"/>
      <c r="D60" s="48"/>
      <c r="E60" s="48"/>
      <c r="F60" s="48"/>
      <c r="G60" s="48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</row>
    <row r="61" s="12" customFormat="1" ht="18" customHeight="1">
      <c r="A61" s="8"/>
      <c r="B61" s="47" t="s">
        <v>31</v>
      </c>
      <c r="C61" s="48"/>
      <c r="D61" s="48"/>
      <c r="E61" s="48"/>
      <c r="F61" s="48"/>
      <c r="G61" s="48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</row>
    <row r="62" s="12" customFormat="1" ht="18" customHeight="1">
      <c r="A62" s="8"/>
      <c r="B62" s="47" t="s">
        <v>35</v>
      </c>
      <c r="C62" s="48"/>
      <c r="D62" s="48"/>
      <c r="E62" s="48"/>
      <c r="F62" s="48"/>
      <c r="G62" s="48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</row>
    <row r="63" s="12" customFormat="1" ht="8.1500000000000004" customHeight="1">
      <c r="A63" s="8"/>
      <c r="B63" s="9"/>
      <c r="C63" s="10"/>
      <c r="D63" s="10"/>
      <c r="E63" s="10"/>
      <c r="F63" s="10"/>
      <c r="G63" s="10"/>
      <c r="H63" s="10"/>
      <c r="I63" s="10"/>
      <c r="J63" s="1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="12" customFormat="1" ht="18" customHeight="1">
      <c r="A64" s="8"/>
      <c r="B64" s="9" t="s">
        <v>86</v>
      </c>
      <c r="C64" s="10" t="s">
        <v>87</v>
      </c>
      <c r="D64" s="10"/>
      <c r="E64" s="10"/>
      <c r="F64" s="10"/>
      <c r="G64" s="10"/>
      <c r="H64" s="10"/>
      <c r="I64" s="10"/>
      <c r="J64" s="1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="12" customFormat="1" ht="18" customHeight="1">
      <c r="A65" s="8"/>
      <c r="B65" s="50" t="s">
        <v>82</v>
      </c>
      <c r="C65" s="51" t="s">
        <v>88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2" t="s">
        <v>89</v>
      </c>
      <c r="Q65" s="52"/>
      <c r="R65" s="52"/>
      <c r="S65" s="52"/>
      <c r="T65" s="52"/>
      <c r="U65" s="52" t="s">
        <v>90</v>
      </c>
      <c r="V65" s="52"/>
      <c r="W65" s="52"/>
      <c r="X65" s="52"/>
      <c r="Y65" s="52"/>
      <c r="Z65" s="52"/>
      <c r="AA65" s="52" t="s">
        <v>91</v>
      </c>
      <c r="AB65" s="52"/>
      <c r="AC65" s="52"/>
      <c r="AD65" s="52"/>
      <c r="AE65" s="52"/>
      <c r="AF65" s="52"/>
    </row>
    <row r="66" s="12" customFormat="1" ht="38.25" customHeight="1">
      <c r="A66" s="8"/>
      <c r="B66" s="53"/>
      <c r="C66" s="54" t="s">
        <v>92</v>
      </c>
      <c r="D66" s="55"/>
      <c r="E66" s="55"/>
      <c r="F66" s="55"/>
      <c r="G66" s="56"/>
      <c r="H66" s="57" t="s">
        <v>21</v>
      </c>
      <c r="I66" s="57"/>
      <c r="J66" s="57"/>
      <c r="K66" s="57"/>
      <c r="L66" s="57" t="s">
        <v>93</v>
      </c>
      <c r="M66" s="57"/>
      <c r="N66" s="57"/>
      <c r="O66" s="57"/>
      <c r="P66" s="58"/>
      <c r="Q66" s="58"/>
      <c r="R66" s="58"/>
      <c r="S66" s="58"/>
      <c r="T66" s="58"/>
      <c r="U66" s="58" t="s">
        <v>94</v>
      </c>
      <c r="V66" s="58"/>
      <c r="W66" s="58"/>
      <c r="X66" s="58" t="s">
        <v>95</v>
      </c>
      <c r="Y66" s="58"/>
      <c r="Z66" s="58"/>
      <c r="AA66" s="58" t="s">
        <v>49</v>
      </c>
      <c r="AB66" s="58"/>
      <c r="AC66" s="58"/>
      <c r="AD66" s="58" t="s">
        <v>48</v>
      </c>
      <c r="AE66" s="58"/>
      <c r="AF66" s="58"/>
    </row>
    <row r="67" s="12" customFormat="1" ht="18" customHeight="1">
      <c r="A67" s="8"/>
      <c r="B67" s="59" t="s">
        <v>8</v>
      </c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1"/>
      <c r="Q67" s="62"/>
      <c r="R67" s="62"/>
      <c r="S67" s="62"/>
      <c r="T67" s="62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</row>
    <row r="68" s="12" customFormat="1" ht="18" customHeight="1">
      <c r="A68" s="8"/>
      <c r="B68" s="47" t="s">
        <v>11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35"/>
      <c r="Q68" s="36"/>
      <c r="R68" s="36"/>
      <c r="S68" s="36"/>
      <c r="T68" s="36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</row>
    <row r="69" s="12" customFormat="1" ht="18" customHeight="1">
      <c r="A69" s="8"/>
      <c r="B69" s="66" t="s">
        <v>15</v>
      </c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35"/>
      <c r="Q69" s="36"/>
      <c r="R69" s="36"/>
      <c r="S69" s="36"/>
      <c r="T69" s="36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</row>
    <row r="70" s="12" customFormat="1" ht="18" customHeight="1">
      <c r="A70" s="8"/>
      <c r="B70" s="47" t="s">
        <v>19</v>
      </c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35"/>
      <c r="Q70" s="36"/>
      <c r="R70" s="36"/>
      <c r="S70" s="36"/>
      <c r="T70" s="36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</row>
    <row r="71" s="12" customFormat="1" ht="18" customHeight="1">
      <c r="A71" s="8"/>
      <c r="B71" s="66" t="s">
        <v>24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35"/>
      <c r="Q71" s="36"/>
      <c r="R71" s="36"/>
      <c r="S71" s="36"/>
      <c r="T71" s="36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</row>
    <row r="72" s="12" customFormat="1" ht="18" customHeight="1">
      <c r="A72" s="8"/>
      <c r="B72" s="47" t="s">
        <v>31</v>
      </c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35"/>
      <c r="Q72" s="36"/>
      <c r="R72" s="36"/>
      <c r="S72" s="36"/>
      <c r="T72" s="36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</row>
    <row r="73" s="12" customFormat="1" ht="18" customHeight="1">
      <c r="A73" s="8"/>
      <c r="B73" s="66" t="s">
        <v>35</v>
      </c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35"/>
      <c r="Q73" s="36"/>
      <c r="R73" s="36"/>
      <c r="S73" s="36"/>
      <c r="T73" s="36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</row>
    <row r="74" s="12" customFormat="1" ht="18" customHeight="1">
      <c r="A74" s="8"/>
      <c r="B74" s="47" t="s">
        <v>38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35"/>
      <c r="Q74" s="36"/>
      <c r="R74" s="36"/>
      <c r="S74" s="36"/>
      <c r="T74" s="36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</row>
    <row r="75" s="12" customFormat="1" ht="18" customHeight="1">
      <c r="A75" s="8"/>
      <c r="B75" s="66" t="s">
        <v>42</v>
      </c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35"/>
      <c r="Q75" s="36"/>
      <c r="R75" s="36"/>
      <c r="S75" s="36"/>
      <c r="T75" s="36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</row>
    <row r="76" s="12" customFormat="1" ht="18" customHeight="1">
      <c r="A76" s="8"/>
      <c r="B76" s="47" t="s">
        <v>45</v>
      </c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35"/>
      <c r="Q76" s="36"/>
      <c r="R76" s="36"/>
      <c r="S76" s="36"/>
      <c r="T76" s="36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</row>
    <row r="77" s="12" customFormat="1" ht="8.1500000000000004" customHeight="1">
      <c r="A77" s="8"/>
      <c r="B77" s="9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19"/>
      <c r="Q77" s="19"/>
      <c r="R77" s="19"/>
      <c r="S77" s="19"/>
      <c r="T77" s="19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s="12" customFormat="1" ht="18" customHeight="1">
      <c r="A78" s="8"/>
      <c r="B78" s="9" t="s">
        <v>96</v>
      </c>
      <c r="C78" s="10" t="s">
        <v>97</v>
      </c>
      <c r="D78" s="10"/>
      <c r="E78" s="10"/>
      <c r="F78" s="10"/>
      <c r="G78" s="10"/>
      <c r="H78" s="10"/>
      <c r="I78" s="10"/>
      <c r="J78" s="11" t="s">
        <v>10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="12" customFormat="1" ht="18" customHeight="1">
      <c r="A79" s="8"/>
      <c r="B79" s="42" t="s">
        <v>98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3" t="s">
        <v>99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 t="s">
        <v>100</v>
      </c>
      <c r="Z79" s="43"/>
      <c r="AA79" s="43"/>
      <c r="AB79" s="43"/>
      <c r="AC79" s="43"/>
      <c r="AD79" s="43"/>
      <c r="AE79" s="43"/>
      <c r="AF79" s="43"/>
    </row>
    <row r="80" s="12" customFormat="1" ht="18" customHeight="1">
      <c r="A80" s="8"/>
      <c r="B80" s="69" t="s">
        <v>101</v>
      </c>
      <c r="C80" s="70"/>
      <c r="D80" s="70"/>
      <c r="E80" s="71" t="s">
        <v>10</v>
      </c>
      <c r="F80" s="71"/>
      <c r="G80" s="71"/>
      <c r="H80" s="71"/>
      <c r="I80" s="71"/>
      <c r="J80" s="71"/>
      <c r="K80" s="71"/>
      <c r="L80" s="71"/>
      <c r="M80" s="72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 s="12" customFormat="1" ht="18" customHeight="1">
      <c r="A81" s="8"/>
      <c r="B81" s="73" t="s">
        <v>102</v>
      </c>
      <c r="C81" s="74"/>
      <c r="D81" s="74"/>
      <c r="E81" s="75" t="s">
        <v>10</v>
      </c>
      <c r="F81" s="75"/>
      <c r="G81" s="75"/>
      <c r="H81" s="75"/>
      <c r="I81" s="75"/>
      <c r="J81" s="75"/>
      <c r="K81" s="75"/>
      <c r="L81" s="75"/>
      <c r="M81" s="76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</row>
    <row r="82" s="12" customFormat="1" ht="18" customHeight="1">
      <c r="A82" s="8"/>
      <c r="B82" s="73" t="s">
        <v>103</v>
      </c>
      <c r="C82" s="74"/>
      <c r="D82" s="74"/>
      <c r="E82" s="75" t="s">
        <v>10</v>
      </c>
      <c r="F82" s="75"/>
      <c r="G82" s="75"/>
      <c r="H82" s="75"/>
      <c r="I82" s="75"/>
      <c r="J82" s="75"/>
      <c r="K82" s="75"/>
      <c r="L82" s="75"/>
      <c r="M82" s="76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</row>
    <row r="83" s="12" customFormat="1" ht="18" customHeight="1">
      <c r="A83" s="8"/>
      <c r="B83" s="73" t="s">
        <v>104</v>
      </c>
      <c r="C83" s="74"/>
      <c r="D83" s="74"/>
      <c r="E83" s="75" t="s">
        <v>10</v>
      </c>
      <c r="F83" s="75"/>
      <c r="G83" s="75"/>
      <c r="H83" s="75"/>
      <c r="I83" s="75"/>
      <c r="J83" s="75"/>
      <c r="K83" s="75"/>
      <c r="L83" s="75"/>
      <c r="M83" s="76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</row>
    <row r="84" s="12" customFormat="1" ht="18" customHeight="1">
      <c r="A84" s="8"/>
      <c r="B84" s="73" t="s">
        <v>105</v>
      </c>
      <c r="C84" s="74"/>
      <c r="D84" s="74"/>
      <c r="E84" s="75" t="s">
        <v>10</v>
      </c>
      <c r="F84" s="75"/>
      <c r="G84" s="75"/>
      <c r="H84" s="75"/>
      <c r="I84" s="75"/>
      <c r="J84" s="75"/>
      <c r="K84" s="75"/>
      <c r="L84" s="75"/>
      <c r="M84" s="76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</row>
    <row r="85" s="12" customFormat="1" ht="18" customHeight="1">
      <c r="A85" s="8"/>
      <c r="B85" s="73" t="s">
        <v>106</v>
      </c>
      <c r="C85" s="74"/>
      <c r="D85" s="74"/>
      <c r="E85" s="75" t="s">
        <v>10</v>
      </c>
      <c r="F85" s="75"/>
      <c r="G85" s="75"/>
      <c r="H85" s="75"/>
      <c r="I85" s="75"/>
      <c r="J85" s="75"/>
      <c r="K85" s="75"/>
      <c r="L85" s="75"/>
      <c r="M85" s="76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</row>
    <row r="86" s="12" customFormat="1" ht="18" customHeight="1">
      <c r="A86" s="8"/>
      <c r="B86" s="73" t="s">
        <v>107</v>
      </c>
      <c r="C86" s="74"/>
      <c r="D86" s="74"/>
      <c r="E86" s="75" t="s">
        <v>10</v>
      </c>
      <c r="F86" s="75"/>
      <c r="G86" s="75"/>
      <c r="H86" s="75"/>
      <c r="I86" s="75"/>
      <c r="J86" s="75"/>
      <c r="K86" s="75"/>
      <c r="L86" s="75"/>
      <c r="M86" s="76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</row>
    <row r="87" s="12" customFormat="1" ht="18" customHeight="1">
      <c r="A87" s="8"/>
      <c r="B87" s="73" t="s">
        <v>108</v>
      </c>
      <c r="C87" s="74"/>
      <c r="D87" s="74"/>
      <c r="E87" s="75" t="s">
        <v>10</v>
      </c>
      <c r="F87" s="75"/>
      <c r="G87" s="75"/>
      <c r="H87" s="75"/>
      <c r="I87" s="75"/>
      <c r="J87" s="75"/>
      <c r="K87" s="75"/>
      <c r="L87" s="75"/>
      <c r="M87" s="76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</row>
    <row r="88" s="12" customFormat="1" ht="18" customHeight="1">
      <c r="A88" s="8"/>
      <c r="B88" s="73" t="s">
        <v>109</v>
      </c>
      <c r="C88" s="74"/>
      <c r="D88" s="74"/>
      <c r="E88" s="75" t="s">
        <v>10</v>
      </c>
      <c r="F88" s="75"/>
      <c r="G88" s="75"/>
      <c r="H88" s="75"/>
      <c r="I88" s="75"/>
      <c r="J88" s="75"/>
      <c r="K88" s="75"/>
      <c r="L88" s="75"/>
      <c r="M88" s="76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</row>
    <row r="89" s="12" customFormat="1" ht="14.15" customHeight="1">
      <c r="A89" s="8"/>
      <c r="B89" s="9"/>
      <c r="C89" s="10"/>
      <c r="D89" s="10"/>
      <c r="E89" s="10"/>
      <c r="F89" s="10"/>
      <c r="G89" s="10"/>
      <c r="H89" s="10"/>
      <c r="I89" s="10"/>
      <c r="J89" s="1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="12" customFormat="1" ht="18" customHeight="1">
      <c r="A90" s="8"/>
      <c r="B90" s="9" t="s">
        <v>110</v>
      </c>
      <c r="C90" s="10" t="s">
        <v>111</v>
      </c>
      <c r="D90" s="10"/>
      <c r="E90" s="10"/>
      <c r="F90" s="10"/>
      <c r="G90" s="10"/>
      <c r="H90" s="10"/>
      <c r="I90" s="10"/>
      <c r="J90" s="1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="12" customFormat="1" ht="18" customHeight="1">
      <c r="A91" s="8"/>
      <c r="B91" s="50" t="s">
        <v>82</v>
      </c>
      <c r="C91" s="77" t="s">
        <v>112</v>
      </c>
      <c r="D91" s="78"/>
      <c r="E91" s="78"/>
      <c r="F91" s="78"/>
      <c r="G91" s="79"/>
      <c r="H91" s="80" t="s">
        <v>85</v>
      </c>
      <c r="I91" s="81"/>
      <c r="J91" s="81"/>
      <c r="K91" s="81"/>
      <c r="L91" s="81"/>
      <c r="M91" s="81"/>
      <c r="N91" s="82"/>
      <c r="O91" s="83" t="s">
        <v>113</v>
      </c>
      <c r="P91" s="83"/>
      <c r="Q91" s="83"/>
      <c r="R91" s="83"/>
      <c r="S91" s="83"/>
      <c r="T91" s="83"/>
      <c r="U91" s="83"/>
      <c r="V91" s="83"/>
      <c r="W91" s="83"/>
      <c r="X91" s="83" t="s">
        <v>83</v>
      </c>
      <c r="Y91" s="83"/>
      <c r="Z91" s="83"/>
      <c r="AA91" s="83"/>
      <c r="AB91" s="83"/>
      <c r="AC91" s="83"/>
      <c r="AD91" s="83"/>
      <c r="AE91" s="83"/>
      <c r="AF91" s="83"/>
    </row>
    <row r="92" s="12" customFormat="1" ht="18" customHeight="1">
      <c r="A92" s="8"/>
      <c r="B92" s="53"/>
      <c r="C92" s="84"/>
      <c r="D92" s="85"/>
      <c r="E92" s="85"/>
      <c r="F92" s="85"/>
      <c r="G92" s="86"/>
      <c r="H92" s="87"/>
      <c r="I92" s="88"/>
      <c r="J92" s="88"/>
      <c r="K92" s="88"/>
      <c r="L92" s="88"/>
      <c r="M92" s="88"/>
      <c r="N92" s="89"/>
      <c r="O92" s="43" t="s">
        <v>49</v>
      </c>
      <c r="P92" s="43"/>
      <c r="Q92" s="43"/>
      <c r="R92" s="43" t="s">
        <v>48</v>
      </c>
      <c r="S92" s="43"/>
      <c r="T92" s="43"/>
      <c r="U92" s="43" t="s">
        <v>114</v>
      </c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</row>
    <row r="93" s="12" customFormat="1" ht="18" customHeight="1">
      <c r="A93" s="8"/>
      <c r="B93" s="44" t="s">
        <v>8</v>
      </c>
      <c r="C93" s="90"/>
      <c r="D93" s="91"/>
      <c r="E93" s="91"/>
      <c r="F93" s="91"/>
      <c r="G93" s="92"/>
      <c r="H93" s="93"/>
      <c r="I93" s="93"/>
      <c r="J93" s="93"/>
      <c r="K93" s="93"/>
      <c r="L93" s="93"/>
      <c r="M93" s="93"/>
      <c r="N93" s="93"/>
      <c r="O93" s="46"/>
      <c r="P93" s="46"/>
      <c r="Q93" s="46"/>
      <c r="R93" s="46"/>
      <c r="S93" s="46"/>
      <c r="T93" s="46"/>
      <c r="U93" s="46"/>
      <c r="V93" s="46"/>
      <c r="W93" s="46"/>
      <c r="X93" s="61"/>
      <c r="Y93" s="62"/>
      <c r="Z93" s="62"/>
      <c r="AA93" s="62"/>
      <c r="AB93" s="62"/>
      <c r="AC93" s="62"/>
      <c r="AD93" s="62"/>
      <c r="AE93" s="62"/>
      <c r="AF93" s="94"/>
    </row>
    <row r="94" s="12" customFormat="1" ht="18" customHeight="1">
      <c r="A94" s="8"/>
      <c r="B94" s="47" t="s">
        <v>11</v>
      </c>
      <c r="C94" s="95"/>
      <c r="D94" s="96"/>
      <c r="E94" s="96"/>
      <c r="F94" s="96"/>
      <c r="G94" s="97"/>
      <c r="H94" s="98"/>
      <c r="I94" s="98"/>
      <c r="J94" s="98"/>
      <c r="K94" s="98"/>
      <c r="L94" s="98"/>
      <c r="M94" s="98"/>
      <c r="N94" s="98"/>
      <c r="O94" s="49"/>
      <c r="P94" s="49"/>
      <c r="Q94" s="49"/>
      <c r="R94" s="49"/>
      <c r="S94" s="49"/>
      <c r="T94" s="49"/>
      <c r="U94" s="49"/>
      <c r="V94" s="49"/>
      <c r="W94" s="49"/>
      <c r="X94" s="35"/>
      <c r="Y94" s="36"/>
      <c r="Z94" s="36"/>
      <c r="AA94" s="36"/>
      <c r="AB94" s="36"/>
      <c r="AC94" s="36"/>
      <c r="AD94" s="36"/>
      <c r="AE94" s="36"/>
      <c r="AF94" s="37"/>
    </row>
    <row r="95" s="12" customFormat="1" ht="18" customHeight="1">
      <c r="A95" s="8"/>
      <c r="B95" s="47" t="s">
        <v>15</v>
      </c>
      <c r="C95" s="95"/>
      <c r="D95" s="96"/>
      <c r="E95" s="96"/>
      <c r="F95" s="96"/>
      <c r="G95" s="97"/>
      <c r="H95" s="98"/>
      <c r="I95" s="98"/>
      <c r="J95" s="98"/>
      <c r="K95" s="98"/>
      <c r="L95" s="98"/>
      <c r="M95" s="98"/>
      <c r="N95" s="98"/>
      <c r="O95" s="49"/>
      <c r="P95" s="49"/>
      <c r="Q95" s="49"/>
      <c r="R95" s="49"/>
      <c r="S95" s="49"/>
      <c r="T95" s="49"/>
      <c r="U95" s="49"/>
      <c r="V95" s="49"/>
      <c r="W95" s="49"/>
      <c r="X95" s="35"/>
      <c r="Y95" s="36"/>
      <c r="Z95" s="36"/>
      <c r="AA95" s="36"/>
      <c r="AB95" s="36"/>
      <c r="AC95" s="36"/>
      <c r="AD95" s="36"/>
      <c r="AE95" s="36"/>
      <c r="AF95" s="37"/>
    </row>
    <row r="96" s="12" customFormat="1" ht="18" customHeight="1">
      <c r="A96" s="8"/>
      <c r="B96" s="47" t="s">
        <v>19</v>
      </c>
      <c r="C96" s="95"/>
      <c r="D96" s="96"/>
      <c r="E96" s="96"/>
      <c r="F96" s="96"/>
      <c r="G96" s="97"/>
      <c r="H96" s="98"/>
      <c r="I96" s="98"/>
      <c r="J96" s="98"/>
      <c r="K96" s="98"/>
      <c r="L96" s="98"/>
      <c r="M96" s="98"/>
      <c r="N96" s="98"/>
      <c r="O96" s="49"/>
      <c r="P96" s="49"/>
      <c r="Q96" s="49"/>
      <c r="R96" s="49"/>
      <c r="S96" s="49"/>
      <c r="T96" s="49"/>
      <c r="U96" s="49"/>
      <c r="V96" s="49"/>
      <c r="W96" s="49"/>
      <c r="X96" s="35"/>
      <c r="Y96" s="36"/>
      <c r="Z96" s="36"/>
      <c r="AA96" s="36"/>
      <c r="AB96" s="36"/>
      <c r="AC96" s="36"/>
      <c r="AD96" s="36"/>
      <c r="AE96" s="36"/>
      <c r="AF96" s="37"/>
    </row>
    <row r="97" s="12" customFormat="1" ht="18" customHeight="1">
      <c r="A97" s="8"/>
      <c r="B97" s="47" t="s">
        <v>24</v>
      </c>
      <c r="C97" s="95"/>
      <c r="D97" s="96"/>
      <c r="E97" s="96"/>
      <c r="F97" s="96"/>
      <c r="G97" s="97"/>
      <c r="H97" s="98"/>
      <c r="I97" s="98"/>
      <c r="J97" s="98"/>
      <c r="K97" s="98"/>
      <c r="L97" s="98"/>
      <c r="M97" s="98"/>
      <c r="N97" s="98"/>
      <c r="O97" s="49"/>
      <c r="P97" s="49"/>
      <c r="Q97" s="49"/>
      <c r="R97" s="49"/>
      <c r="S97" s="49"/>
      <c r="T97" s="49"/>
      <c r="U97" s="49"/>
      <c r="V97" s="49"/>
      <c r="W97" s="49"/>
      <c r="X97" s="35"/>
      <c r="Y97" s="36"/>
      <c r="Z97" s="36"/>
      <c r="AA97" s="36"/>
      <c r="AB97" s="36"/>
      <c r="AC97" s="36"/>
      <c r="AD97" s="36"/>
      <c r="AE97" s="36"/>
      <c r="AF97" s="37"/>
    </row>
    <row r="98" s="12" customFormat="1" ht="18" customHeight="1">
      <c r="A98" s="8"/>
      <c r="B98" s="47" t="s">
        <v>31</v>
      </c>
      <c r="C98" s="95"/>
      <c r="D98" s="96"/>
      <c r="E98" s="96"/>
      <c r="F98" s="96"/>
      <c r="G98" s="97"/>
      <c r="H98" s="98"/>
      <c r="I98" s="98"/>
      <c r="J98" s="98"/>
      <c r="K98" s="98"/>
      <c r="L98" s="98"/>
      <c r="M98" s="98"/>
      <c r="N98" s="98"/>
      <c r="O98" s="49"/>
      <c r="P98" s="49"/>
      <c r="Q98" s="49"/>
      <c r="R98" s="49"/>
      <c r="S98" s="49"/>
      <c r="T98" s="49"/>
      <c r="U98" s="49"/>
      <c r="V98" s="49"/>
      <c r="W98" s="49"/>
      <c r="X98" s="35"/>
      <c r="Y98" s="36"/>
      <c r="Z98" s="36"/>
      <c r="AA98" s="36"/>
      <c r="AB98" s="36"/>
      <c r="AC98" s="36"/>
      <c r="AD98" s="36"/>
      <c r="AE98" s="36"/>
      <c r="AF98" s="37"/>
    </row>
    <row r="99" s="12" customFormat="1" ht="18" customHeight="1">
      <c r="A99" s="8"/>
      <c r="B99" s="47" t="s">
        <v>35</v>
      </c>
      <c r="C99" s="95"/>
      <c r="D99" s="96"/>
      <c r="E99" s="96"/>
      <c r="F99" s="96"/>
      <c r="G99" s="97"/>
      <c r="H99" s="98"/>
      <c r="I99" s="98"/>
      <c r="J99" s="98"/>
      <c r="K99" s="98"/>
      <c r="L99" s="98"/>
      <c r="M99" s="98"/>
      <c r="N99" s="98"/>
      <c r="O99" s="49"/>
      <c r="P99" s="49"/>
      <c r="Q99" s="49"/>
      <c r="R99" s="49"/>
      <c r="S99" s="49"/>
      <c r="T99" s="49"/>
      <c r="U99" s="49"/>
      <c r="V99" s="49"/>
      <c r="W99" s="49"/>
      <c r="X99" s="35"/>
      <c r="Y99" s="36"/>
      <c r="Z99" s="36"/>
      <c r="AA99" s="36"/>
      <c r="AB99" s="36"/>
      <c r="AC99" s="36"/>
      <c r="AD99" s="36"/>
      <c r="AE99" s="36"/>
      <c r="AF99" s="37"/>
    </row>
    <row r="100" s="12" customFormat="1" ht="18" customHeight="1">
      <c r="A100" s="8"/>
      <c r="B100" s="47" t="s">
        <v>38</v>
      </c>
      <c r="C100" s="95"/>
      <c r="D100" s="96"/>
      <c r="E100" s="96"/>
      <c r="F100" s="96"/>
      <c r="G100" s="97"/>
      <c r="H100" s="98"/>
      <c r="I100" s="98"/>
      <c r="J100" s="98"/>
      <c r="K100" s="98"/>
      <c r="L100" s="98"/>
      <c r="M100" s="98"/>
      <c r="N100" s="98"/>
      <c r="O100" s="49"/>
      <c r="P100" s="49"/>
      <c r="Q100" s="49"/>
      <c r="R100" s="49"/>
      <c r="S100" s="49"/>
      <c r="T100" s="49"/>
      <c r="U100" s="49"/>
      <c r="V100" s="49"/>
      <c r="W100" s="49"/>
      <c r="X100" s="35"/>
      <c r="Y100" s="36"/>
      <c r="Z100" s="36"/>
      <c r="AA100" s="36"/>
      <c r="AB100" s="36"/>
      <c r="AC100" s="36"/>
      <c r="AD100" s="36"/>
      <c r="AE100" s="36"/>
      <c r="AF100" s="37"/>
    </row>
    <row r="101" s="12" customFormat="1" ht="18" customHeight="1">
      <c r="A101" s="8"/>
      <c r="B101" s="47" t="s">
        <v>42</v>
      </c>
      <c r="C101" s="95"/>
      <c r="D101" s="96"/>
      <c r="E101" s="96"/>
      <c r="F101" s="96"/>
      <c r="G101" s="97"/>
      <c r="H101" s="98"/>
      <c r="I101" s="98"/>
      <c r="J101" s="98"/>
      <c r="K101" s="98"/>
      <c r="L101" s="98"/>
      <c r="M101" s="98"/>
      <c r="N101" s="98"/>
      <c r="O101" s="49"/>
      <c r="P101" s="49"/>
      <c r="Q101" s="49"/>
      <c r="R101" s="49"/>
      <c r="S101" s="49"/>
      <c r="T101" s="49"/>
      <c r="U101" s="49"/>
      <c r="V101" s="49"/>
      <c r="W101" s="49"/>
      <c r="X101" s="35"/>
      <c r="Y101" s="36"/>
      <c r="Z101" s="36"/>
      <c r="AA101" s="36"/>
      <c r="AB101" s="36"/>
      <c r="AC101" s="36"/>
      <c r="AD101" s="36"/>
      <c r="AE101" s="36"/>
      <c r="AF101" s="37"/>
    </row>
    <row r="102" s="12" customFormat="1" ht="18" customHeight="1">
      <c r="A102" s="8"/>
      <c r="B102" s="9"/>
      <c r="C102" s="10"/>
      <c r="D102" s="10"/>
      <c r="E102" s="10"/>
      <c r="F102" s="10"/>
      <c r="G102" s="10"/>
      <c r="H102" s="10"/>
      <c r="I102" s="10"/>
      <c r="J102" s="1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="12" customFormat="1" ht="18" customHeight="1">
      <c r="A103" s="8"/>
      <c r="B103" s="9" t="s">
        <v>115</v>
      </c>
      <c r="C103" s="10" t="s">
        <v>116</v>
      </c>
      <c r="D103" s="10"/>
      <c r="E103" s="10"/>
      <c r="F103" s="10"/>
      <c r="G103" s="10"/>
      <c r="H103" s="10"/>
      <c r="I103" s="10"/>
      <c r="J103" s="1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="12" customFormat="1" ht="18" customHeight="1">
      <c r="A104" s="8"/>
      <c r="B104" s="42" t="s">
        <v>82</v>
      </c>
      <c r="C104" s="42" t="s">
        <v>117</v>
      </c>
      <c r="D104" s="42"/>
      <c r="E104" s="42"/>
      <c r="F104" s="42"/>
      <c r="G104" s="42"/>
      <c r="H104" s="42"/>
      <c r="I104" s="42"/>
      <c r="J104" s="42"/>
      <c r="K104" s="42"/>
      <c r="L104" s="43" t="s">
        <v>118</v>
      </c>
      <c r="M104" s="43"/>
      <c r="N104" s="43"/>
      <c r="O104" s="43"/>
      <c r="P104" s="43"/>
      <c r="Q104" s="43"/>
      <c r="R104" s="43"/>
      <c r="S104" s="43"/>
      <c r="T104" s="43"/>
      <c r="U104" s="43"/>
      <c r="V104" s="43" t="s">
        <v>119</v>
      </c>
      <c r="W104" s="43"/>
      <c r="X104" s="43"/>
      <c r="Y104" s="43"/>
      <c r="Z104" s="43" t="s">
        <v>49</v>
      </c>
      <c r="AA104" s="43"/>
      <c r="AB104" s="43"/>
      <c r="AC104" s="43"/>
      <c r="AD104" s="43"/>
      <c r="AE104" s="43"/>
      <c r="AF104" s="43"/>
    </row>
    <row r="105" s="12" customFormat="1" ht="18" customHeight="1">
      <c r="A105" s="8"/>
      <c r="B105" s="44" t="s">
        <v>8</v>
      </c>
      <c r="C105" s="45"/>
      <c r="D105" s="45"/>
      <c r="E105" s="45"/>
      <c r="F105" s="45"/>
      <c r="G105" s="45"/>
      <c r="H105" s="45"/>
      <c r="I105" s="45"/>
      <c r="J105" s="45"/>
      <c r="K105" s="45"/>
      <c r="L105" s="99"/>
      <c r="M105" s="100"/>
      <c r="N105" s="100"/>
      <c r="O105" s="100"/>
      <c r="P105" s="100"/>
      <c r="Q105" s="100"/>
      <c r="R105" s="100"/>
      <c r="S105" s="100"/>
      <c r="T105" s="100"/>
      <c r="U105" s="101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 s="12" customFormat="1" ht="18" customHeight="1">
      <c r="A106" s="8"/>
      <c r="B106" s="47" t="s">
        <v>11</v>
      </c>
      <c r="C106" s="48"/>
      <c r="D106" s="48"/>
      <c r="E106" s="48"/>
      <c r="F106" s="48"/>
      <c r="G106" s="48"/>
      <c r="H106" s="48"/>
      <c r="I106" s="48"/>
      <c r="J106" s="48"/>
      <c r="K106" s="48"/>
      <c r="L106" s="102"/>
      <c r="M106" s="103"/>
      <c r="N106" s="103"/>
      <c r="O106" s="103"/>
      <c r="P106" s="103"/>
      <c r="Q106" s="103"/>
      <c r="R106" s="103"/>
      <c r="S106" s="103"/>
      <c r="T106" s="103"/>
      <c r="U106" s="104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</row>
    <row r="107" s="12" customFormat="1" ht="18" customHeight="1">
      <c r="A107" s="8"/>
      <c r="B107" s="47" t="s">
        <v>15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102"/>
      <c r="M107" s="103"/>
      <c r="N107" s="103"/>
      <c r="O107" s="103"/>
      <c r="P107" s="103"/>
      <c r="Q107" s="103"/>
      <c r="R107" s="103"/>
      <c r="S107" s="103"/>
      <c r="T107" s="103"/>
      <c r="U107" s="104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</row>
    <row r="108" s="12" customFormat="1" ht="18" customHeight="1">
      <c r="A108" s="8"/>
      <c r="B108" s="47" t="s">
        <v>19</v>
      </c>
      <c r="C108" s="48"/>
      <c r="D108" s="48"/>
      <c r="E108" s="48"/>
      <c r="F108" s="48"/>
      <c r="G108" s="48"/>
      <c r="H108" s="48"/>
      <c r="I108" s="48"/>
      <c r="J108" s="48"/>
      <c r="K108" s="48"/>
      <c r="L108" s="102"/>
      <c r="M108" s="103"/>
      <c r="N108" s="103"/>
      <c r="O108" s="103"/>
      <c r="P108" s="103"/>
      <c r="Q108" s="103"/>
      <c r="R108" s="103"/>
      <c r="S108" s="103"/>
      <c r="T108" s="103"/>
      <c r="U108" s="104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</row>
    <row r="109" s="12" customFormat="1" ht="18" customHeight="1">
      <c r="A109" s="8"/>
      <c r="B109" s="47" t="s">
        <v>24</v>
      </c>
      <c r="C109" s="48"/>
      <c r="D109" s="48"/>
      <c r="E109" s="48"/>
      <c r="F109" s="48"/>
      <c r="G109" s="48"/>
      <c r="H109" s="48"/>
      <c r="I109" s="48"/>
      <c r="J109" s="48"/>
      <c r="K109" s="48"/>
      <c r="L109" s="102"/>
      <c r="M109" s="103"/>
      <c r="N109" s="103"/>
      <c r="O109" s="103"/>
      <c r="P109" s="103"/>
      <c r="Q109" s="103"/>
      <c r="R109" s="103"/>
      <c r="S109" s="103"/>
      <c r="T109" s="103"/>
      <c r="U109" s="104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</row>
    <row r="110" s="12" customFormat="1" ht="8.1500000000000004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s="12" customFormat="1" ht="18" customHeight="1">
      <c r="A111" s="8"/>
      <c r="B111" s="9" t="s">
        <v>120</v>
      </c>
      <c r="C111" s="10" t="s">
        <v>121</v>
      </c>
      <c r="D111" s="10"/>
      <c r="E111" s="10"/>
      <c r="F111" s="10"/>
      <c r="G111" s="10"/>
      <c r="H111" s="10"/>
      <c r="I111" s="10"/>
      <c r="J111" s="1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="12" customFormat="1" ht="18" customHeight="1">
      <c r="A112" s="8"/>
      <c r="B112" s="42" t="s">
        <v>82</v>
      </c>
      <c r="C112" s="105" t="s">
        <v>85</v>
      </c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7" t="s">
        <v>122</v>
      </c>
      <c r="P112" s="108"/>
      <c r="Q112" s="108"/>
      <c r="R112" s="108"/>
      <c r="S112" s="108"/>
      <c r="T112" s="108"/>
      <c r="U112" s="109"/>
      <c r="V112" s="107" t="s">
        <v>123</v>
      </c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9"/>
    </row>
    <row r="113" s="12" customFormat="1" ht="18" customHeight="1">
      <c r="A113" s="8"/>
      <c r="B113" s="44" t="s">
        <v>8</v>
      </c>
      <c r="C113" s="110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99"/>
      <c r="P113" s="100"/>
      <c r="Q113" s="100"/>
      <c r="R113" s="100"/>
      <c r="S113" s="100"/>
      <c r="T113" s="100"/>
      <c r="U113" s="101"/>
      <c r="V113" s="61"/>
      <c r="W113" s="62"/>
      <c r="X113" s="62"/>
      <c r="Y113" s="62"/>
      <c r="Z113" s="62"/>
      <c r="AA113" s="62"/>
      <c r="AB113" s="62"/>
      <c r="AC113" s="62"/>
      <c r="AD113" s="62"/>
      <c r="AE113" s="62"/>
      <c r="AF113" s="94"/>
    </row>
    <row r="114" s="12" customFormat="1" ht="18" customHeight="1">
      <c r="A114" s="8"/>
      <c r="B114" s="47" t="s">
        <v>11</v>
      </c>
      <c r="C114" s="112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02"/>
      <c r="P114" s="103"/>
      <c r="Q114" s="103"/>
      <c r="R114" s="103"/>
      <c r="S114" s="103"/>
      <c r="T114" s="103"/>
      <c r="U114" s="104"/>
      <c r="V114" s="35"/>
      <c r="W114" s="36"/>
      <c r="X114" s="36"/>
      <c r="Y114" s="36"/>
      <c r="Z114" s="36"/>
      <c r="AA114" s="36"/>
      <c r="AB114" s="36"/>
      <c r="AC114" s="36"/>
      <c r="AD114" s="36"/>
      <c r="AE114" s="36"/>
      <c r="AF114" s="37"/>
    </row>
    <row r="115" s="12" customFormat="1" ht="18" customHeight="1">
      <c r="A115" s="8"/>
      <c r="B115" s="47" t="s">
        <v>15</v>
      </c>
      <c r="C115" s="112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02"/>
      <c r="P115" s="103"/>
      <c r="Q115" s="103"/>
      <c r="R115" s="103"/>
      <c r="S115" s="103"/>
      <c r="T115" s="103"/>
      <c r="U115" s="104"/>
      <c r="V115" s="35"/>
      <c r="W115" s="36"/>
      <c r="X115" s="36"/>
      <c r="Y115" s="36"/>
      <c r="Z115" s="36"/>
      <c r="AA115" s="36"/>
      <c r="AB115" s="36"/>
      <c r="AC115" s="36"/>
      <c r="AD115" s="36"/>
      <c r="AE115" s="36"/>
      <c r="AF115" s="37"/>
    </row>
    <row r="116" s="12" customFormat="1" ht="18" customHeight="1">
      <c r="A116" s="8"/>
      <c r="B116" s="47" t="s">
        <v>19</v>
      </c>
      <c r="C116" s="112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02"/>
      <c r="P116" s="103"/>
      <c r="Q116" s="103"/>
      <c r="R116" s="103"/>
      <c r="S116" s="103"/>
      <c r="T116" s="103"/>
      <c r="U116" s="104"/>
      <c r="V116" s="35"/>
      <c r="W116" s="36"/>
      <c r="X116" s="36"/>
      <c r="Y116" s="36"/>
      <c r="Z116" s="36"/>
      <c r="AA116" s="36"/>
      <c r="AB116" s="36"/>
      <c r="AC116" s="36"/>
      <c r="AD116" s="36"/>
      <c r="AE116" s="36"/>
      <c r="AF116" s="37"/>
    </row>
    <row r="117" s="12" customFormat="1" ht="18" customHeight="1">
      <c r="A117" s="8"/>
      <c r="B117" s="47" t="s">
        <v>24</v>
      </c>
      <c r="C117" s="112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02"/>
      <c r="P117" s="103"/>
      <c r="Q117" s="103"/>
      <c r="R117" s="103"/>
      <c r="S117" s="103"/>
      <c r="T117" s="103"/>
      <c r="U117" s="104"/>
      <c r="V117" s="35"/>
      <c r="W117" s="36"/>
      <c r="X117" s="36"/>
      <c r="Y117" s="36"/>
      <c r="Z117" s="36"/>
      <c r="AA117" s="36"/>
      <c r="AB117" s="36"/>
      <c r="AC117" s="36"/>
      <c r="AD117" s="36"/>
      <c r="AE117" s="36"/>
      <c r="AF117" s="37"/>
    </row>
    <row r="118" s="12" customFormat="1" ht="8.1500000000000004" customHeight="1">
      <c r="A118" s="8"/>
      <c r="B118" s="9"/>
      <c r="C118" s="10"/>
      <c r="D118" s="10"/>
      <c r="E118" s="10"/>
      <c r="F118" s="10"/>
      <c r="G118" s="10"/>
      <c r="H118" s="10"/>
      <c r="I118" s="10"/>
      <c r="J118" s="1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="12" customFormat="1" ht="8.1500000000000004" customHeight="1">
      <c r="A119" s="8"/>
      <c r="B119" s="9"/>
      <c r="C119" s="10"/>
      <c r="D119" s="10"/>
      <c r="E119" s="10"/>
      <c r="F119" s="10"/>
      <c r="G119" s="10"/>
      <c r="H119" s="10"/>
      <c r="I119" s="10"/>
      <c r="J119" s="1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="12" customFormat="1" ht="18" customHeight="1">
      <c r="A120" s="8"/>
      <c r="B120" s="9" t="s">
        <v>124</v>
      </c>
      <c r="C120" s="10" t="s">
        <v>125</v>
      </c>
      <c r="D120" s="10"/>
      <c r="E120" s="10"/>
      <c r="F120" s="10"/>
      <c r="G120" s="10"/>
      <c r="H120" s="10"/>
      <c r="I120" s="10"/>
      <c r="J120" s="1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="12" customFormat="1" ht="18" customHeight="1">
      <c r="A121" s="8"/>
      <c r="B121" s="114" t="s">
        <v>82</v>
      </c>
      <c r="C121" s="57" t="s">
        <v>126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115" t="s">
        <v>73</v>
      </c>
      <c r="Q121" s="116"/>
      <c r="R121" s="116"/>
      <c r="S121" s="116"/>
      <c r="T121" s="117"/>
      <c r="U121" s="58" t="s">
        <v>127</v>
      </c>
      <c r="V121" s="58"/>
      <c r="W121" s="58"/>
      <c r="X121" s="58"/>
      <c r="Y121" s="58"/>
      <c r="Z121" s="58"/>
      <c r="AA121" s="58" t="s">
        <v>85</v>
      </c>
      <c r="AB121" s="58"/>
      <c r="AC121" s="58"/>
      <c r="AD121" s="58"/>
      <c r="AE121" s="58"/>
      <c r="AF121" s="58"/>
    </row>
    <row r="122" s="12" customFormat="1" ht="18" customHeight="1">
      <c r="A122" s="8"/>
      <c r="B122" s="44" t="s">
        <v>8</v>
      </c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</row>
    <row r="123" s="12" customFormat="1" ht="18" customHeight="1">
      <c r="A123" s="8"/>
      <c r="B123" s="47" t="s">
        <v>11</v>
      </c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</row>
    <row r="124" s="12" customFormat="1" ht="18" customHeight="1">
      <c r="A124" s="8"/>
      <c r="B124" s="47" t="s">
        <v>15</v>
      </c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</row>
    <row r="125" s="12" customFormat="1" ht="18" customHeight="1">
      <c r="A125" s="8"/>
      <c r="B125" s="47" t="s">
        <v>19</v>
      </c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</row>
    <row r="126" s="12" customFormat="1" ht="18" customHeight="1">
      <c r="A126" s="8"/>
      <c r="B126" s="47" t="s">
        <v>24</v>
      </c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</row>
    <row r="127" s="12" customFormat="1" ht="8.1500000000000004" customHeight="1">
      <c r="A127" s="8"/>
      <c r="B127" s="9"/>
      <c r="C127" s="10"/>
      <c r="D127" s="10"/>
      <c r="E127" s="10"/>
      <c r="F127" s="10"/>
      <c r="G127" s="10"/>
      <c r="H127" s="10"/>
      <c r="I127" s="10"/>
      <c r="J127" s="1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="12" customFormat="1" ht="8.1500000000000004" customHeight="1">
      <c r="A128" s="8"/>
      <c r="B128" s="9"/>
      <c r="C128" s="10"/>
      <c r="D128" s="10"/>
      <c r="E128" s="10"/>
      <c r="F128" s="10"/>
      <c r="G128" s="10"/>
      <c r="H128" s="10"/>
      <c r="I128" s="10"/>
      <c r="J128" s="1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="12" customFormat="1" ht="18" customHeight="1">
      <c r="A129" s="8"/>
      <c r="B129" s="9" t="s">
        <v>128</v>
      </c>
      <c r="C129" s="10" t="s">
        <v>129</v>
      </c>
      <c r="D129" s="10"/>
      <c r="E129" s="10"/>
      <c r="F129" s="10"/>
      <c r="G129" s="10"/>
      <c r="H129" s="10"/>
      <c r="I129" s="10"/>
      <c r="J129" s="11" t="s">
        <v>10</v>
      </c>
      <c r="K129" s="9" t="s">
        <v>8</v>
      </c>
      <c r="L129" s="27" t="s">
        <v>130</v>
      </c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8"/>
    </row>
    <row r="130" s="12" customFormat="1" ht="18" customHeight="1">
      <c r="A130" s="8"/>
      <c r="B130" s="9"/>
      <c r="C130" s="10"/>
      <c r="D130" s="10"/>
      <c r="E130" s="10"/>
      <c r="F130" s="10"/>
      <c r="G130" s="10"/>
      <c r="H130" s="10"/>
      <c r="I130" s="10"/>
      <c r="J130" s="11"/>
      <c r="K130" s="9" t="s">
        <v>11</v>
      </c>
      <c r="L130" s="27" t="s">
        <v>130</v>
      </c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8"/>
    </row>
    <row r="131" s="12" customFormat="1" ht="8.1500000000000004" customHeight="1">
      <c r="A131" s="8"/>
      <c r="B131" s="9"/>
      <c r="C131" s="10"/>
      <c r="D131" s="10"/>
      <c r="E131" s="10"/>
      <c r="F131" s="10"/>
      <c r="G131" s="10"/>
      <c r="H131" s="10"/>
      <c r="I131" s="10"/>
      <c r="J131" s="1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="12" customFormat="1" ht="18" customHeight="1">
      <c r="A132" s="8"/>
      <c r="B132" s="9" t="s">
        <v>131</v>
      </c>
      <c r="C132" s="10" t="s">
        <v>132</v>
      </c>
      <c r="D132" s="10"/>
      <c r="E132" s="10"/>
      <c r="F132" s="10"/>
      <c r="G132" s="10"/>
      <c r="H132" s="10"/>
      <c r="I132" s="10"/>
      <c r="J132" s="11" t="s">
        <v>10</v>
      </c>
      <c r="K132" s="8" t="s">
        <v>133</v>
      </c>
      <c r="L132" s="8"/>
      <c r="M132" s="118" t="s">
        <v>134</v>
      </c>
      <c r="N132" s="31"/>
      <c r="O132" s="31"/>
      <c r="P132" s="32" t="s">
        <v>135</v>
      </c>
      <c r="Q132" s="8"/>
      <c r="R132" s="8" t="s">
        <v>136</v>
      </c>
      <c r="S132" s="8"/>
      <c r="T132" s="118" t="s">
        <v>137</v>
      </c>
      <c r="U132" s="31"/>
      <c r="V132" s="31"/>
      <c r="W132" s="32" t="s">
        <v>138</v>
      </c>
      <c r="X132" s="8"/>
      <c r="Y132" s="10" t="s">
        <v>139</v>
      </c>
      <c r="Z132" s="8"/>
      <c r="AA132" s="118" t="s">
        <v>134</v>
      </c>
      <c r="AB132" s="118"/>
      <c r="AC132" s="31"/>
      <c r="AD132" s="31"/>
      <c r="AE132" s="8"/>
      <c r="AF132" s="8"/>
    </row>
    <row r="133" s="12" customFormat="1" ht="18" customHeight="1">
      <c r="A133" s="8"/>
      <c r="B133" s="9"/>
      <c r="C133" s="10"/>
      <c r="D133" s="10"/>
      <c r="E133" s="10"/>
      <c r="F133" s="10"/>
      <c r="G133" s="10"/>
      <c r="H133" s="10"/>
      <c r="I133" s="10"/>
      <c r="J133" s="1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="12" customFormat="1" ht="18" customHeight="1">
      <c r="A134" s="8"/>
      <c r="B134" s="9"/>
      <c r="C134" s="10"/>
      <c r="D134" s="10"/>
      <c r="E134" s="10"/>
      <c r="F134" s="10"/>
      <c r="G134" s="10"/>
      <c r="H134" s="10"/>
      <c r="I134" s="10"/>
      <c r="J134" s="11"/>
      <c r="K134" s="8" t="s">
        <v>140</v>
      </c>
      <c r="L134" s="8"/>
      <c r="M134" s="32"/>
      <c r="N134" s="119" t="s">
        <v>141</v>
      </c>
      <c r="O134" s="119"/>
      <c r="P134" s="119"/>
      <c r="Q134" s="119"/>
      <c r="R134" s="8"/>
      <c r="S134" s="10" t="s">
        <v>142</v>
      </c>
      <c r="T134" s="8"/>
      <c r="U134" s="8"/>
      <c r="V134" s="8"/>
      <c r="W134" s="119" t="s">
        <v>143</v>
      </c>
      <c r="X134" s="119"/>
      <c r="Y134" s="119"/>
      <c r="Z134" s="119"/>
      <c r="AA134" s="119"/>
      <c r="AB134" s="8"/>
      <c r="AC134" s="8"/>
      <c r="AD134" s="8"/>
      <c r="AE134" s="8"/>
      <c r="AF134" s="8"/>
    </row>
    <row r="135" s="12" customFormat="1" ht="18" customHeight="1">
      <c r="A135" s="8"/>
      <c r="B135" s="9"/>
      <c r="C135" s="10"/>
      <c r="D135" s="10"/>
      <c r="E135" s="10"/>
      <c r="F135" s="10"/>
      <c r="G135" s="10"/>
      <c r="H135" s="10"/>
      <c r="I135" s="10"/>
      <c r="J135" s="11"/>
      <c r="K135" s="8"/>
      <c r="L135" s="8"/>
      <c r="M135" s="32"/>
      <c r="N135" s="11"/>
      <c r="O135" s="11"/>
      <c r="P135" s="11"/>
      <c r="Q135" s="11"/>
      <c r="R135" s="8"/>
      <c r="S135" s="10"/>
      <c r="T135" s="8"/>
      <c r="U135" s="8"/>
      <c r="V135" s="8"/>
      <c r="W135" s="11"/>
      <c r="X135" s="11"/>
      <c r="Y135" s="11"/>
      <c r="Z135" s="11"/>
      <c r="AA135" s="11"/>
      <c r="AB135" s="8"/>
      <c r="AC135" s="8"/>
      <c r="AD135" s="8"/>
      <c r="AE135" s="8"/>
      <c r="AF135" s="8"/>
    </row>
    <row r="136" s="12" customFormat="1" ht="18" customHeight="1">
      <c r="A136" s="8"/>
      <c r="B136" s="9"/>
      <c r="C136" s="10"/>
      <c r="D136" s="10"/>
      <c r="E136" s="10"/>
      <c r="F136" s="10"/>
      <c r="G136" s="10"/>
      <c r="H136" s="10"/>
      <c r="I136" s="10"/>
      <c r="J136" s="11"/>
      <c r="K136" s="8" t="s">
        <v>144</v>
      </c>
      <c r="L136" s="8"/>
      <c r="M136" s="32"/>
      <c r="N136" s="11"/>
      <c r="O136" s="11"/>
      <c r="P136" s="11"/>
      <c r="Q136" s="11"/>
      <c r="R136" s="8"/>
      <c r="S136" s="10"/>
      <c r="T136" s="8"/>
      <c r="U136" s="8"/>
      <c r="V136" s="8"/>
      <c r="W136" s="11"/>
      <c r="X136" s="11"/>
      <c r="Y136" s="11"/>
      <c r="Z136" s="11"/>
      <c r="AA136" s="11"/>
      <c r="AB136" s="8"/>
      <c r="AC136" s="8"/>
      <c r="AD136" s="8"/>
      <c r="AE136" s="8"/>
      <c r="AF136" s="8"/>
    </row>
    <row r="137" s="12" customFormat="1" ht="18" customHeight="1">
      <c r="A137" s="8"/>
      <c r="B137" s="9"/>
      <c r="C137" s="10"/>
      <c r="D137" s="10"/>
      <c r="E137" s="10"/>
      <c r="F137" s="10"/>
      <c r="G137" s="10"/>
      <c r="H137" s="10"/>
      <c r="I137" s="10"/>
      <c r="J137" s="11"/>
      <c r="K137" s="120" t="s">
        <v>145</v>
      </c>
      <c r="L137" s="31"/>
      <c r="M137" s="121"/>
      <c r="N137" s="119"/>
      <c r="O137" s="119"/>
      <c r="P137" s="119"/>
      <c r="Q137" s="119"/>
      <c r="R137" s="31"/>
      <c r="S137" s="24"/>
      <c r="T137" s="31"/>
      <c r="U137" s="31"/>
      <c r="V137" s="31"/>
      <c r="W137" s="119"/>
      <c r="X137" s="119"/>
      <c r="Y137" s="119"/>
      <c r="Z137" s="119"/>
      <c r="AA137" s="119"/>
      <c r="AB137" s="31"/>
      <c r="AC137" s="31"/>
      <c r="AD137" s="31"/>
      <c r="AE137" s="31"/>
      <c r="AF137" s="8"/>
    </row>
    <row r="138" s="12" customFormat="1" ht="18" customHeight="1">
      <c r="A138" s="8"/>
      <c r="B138" s="9"/>
      <c r="C138" s="10"/>
      <c r="D138" s="10"/>
      <c r="E138" s="10"/>
      <c r="F138" s="10"/>
      <c r="G138" s="10"/>
      <c r="H138" s="10"/>
      <c r="I138" s="10"/>
      <c r="J138" s="11"/>
      <c r="K138" s="120" t="s">
        <v>146</v>
      </c>
      <c r="L138" s="31"/>
      <c r="M138" s="121"/>
      <c r="N138" s="119"/>
      <c r="O138" s="119"/>
      <c r="P138" s="119"/>
      <c r="Q138" s="119"/>
      <c r="R138" s="31"/>
      <c r="S138" s="24"/>
      <c r="T138" s="31"/>
      <c r="U138" s="31"/>
      <c r="V138" s="31"/>
      <c r="W138" s="119"/>
      <c r="X138" s="119"/>
      <c r="Y138" s="119"/>
      <c r="Z138" s="119"/>
      <c r="AA138" s="119"/>
      <c r="AB138" s="31"/>
      <c r="AC138" s="31"/>
      <c r="AD138" s="31"/>
      <c r="AE138" s="8"/>
      <c r="AF138" s="8"/>
    </row>
    <row r="139" s="12" customFormat="1" ht="18" customHeight="1">
      <c r="A139" s="8"/>
      <c r="B139" s="9"/>
      <c r="C139" s="10"/>
      <c r="D139" s="10"/>
      <c r="E139" s="10"/>
      <c r="F139" s="10"/>
      <c r="G139" s="10"/>
      <c r="H139" s="10"/>
      <c r="I139" s="10"/>
      <c r="J139" s="11"/>
      <c r="K139" s="120" t="s">
        <v>147</v>
      </c>
      <c r="L139" s="31"/>
      <c r="M139" s="121"/>
      <c r="N139" s="119"/>
      <c r="O139" s="119"/>
      <c r="P139" s="119"/>
      <c r="Q139" s="119"/>
      <c r="R139" s="31"/>
      <c r="S139" s="24"/>
      <c r="T139" s="31"/>
      <c r="U139" s="31"/>
      <c r="V139" s="31"/>
      <c r="W139" s="119"/>
      <c r="X139" s="119"/>
      <c r="Y139" s="119"/>
      <c r="Z139" s="119"/>
      <c r="AA139" s="119"/>
      <c r="AB139" s="31"/>
      <c r="AC139" s="31"/>
      <c r="AD139" s="31"/>
      <c r="AE139" s="31"/>
      <c r="AF139" s="8"/>
    </row>
    <row r="140" s="12" customFormat="1" ht="8.1500000000000004" customHeight="1">
      <c r="A140" s="8"/>
      <c r="B140" s="9"/>
      <c r="C140" s="10"/>
      <c r="D140" s="10"/>
      <c r="E140" s="10"/>
      <c r="F140" s="10"/>
      <c r="G140" s="10"/>
      <c r="H140" s="10"/>
      <c r="I140" s="10"/>
      <c r="J140" s="1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="12" customFormat="1" ht="8.1500000000000004" customHeight="1">
      <c r="A141" s="8"/>
      <c r="B141" s="9"/>
      <c r="C141" s="10"/>
      <c r="D141" s="10"/>
      <c r="E141" s="10"/>
      <c r="F141" s="10"/>
      <c r="G141" s="10"/>
      <c r="H141" s="10"/>
      <c r="I141" s="10"/>
      <c r="J141" s="1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="12" customFormat="1" ht="18" customHeight="1">
      <c r="A142" s="8"/>
      <c r="B142" s="9" t="s">
        <v>148</v>
      </c>
      <c r="C142" s="10" t="s">
        <v>149</v>
      </c>
      <c r="D142" s="10"/>
      <c r="E142" s="10"/>
      <c r="F142" s="10"/>
      <c r="G142" s="10"/>
      <c r="H142" s="10"/>
      <c r="I142" s="10"/>
      <c r="J142" s="11" t="s">
        <v>10</v>
      </c>
      <c r="K142" s="118" t="s">
        <v>150</v>
      </c>
      <c r="L142" s="31"/>
      <c r="M142" s="8" t="s">
        <v>151</v>
      </c>
      <c r="N142" s="8"/>
      <c r="O142" s="8"/>
      <c r="P142" s="8"/>
      <c r="Q142" s="8" t="s">
        <v>152</v>
      </c>
      <c r="R142" s="8"/>
      <c r="S142" s="118" t="s">
        <v>150</v>
      </c>
      <c r="T142" s="31"/>
      <c r="U142" s="8" t="s">
        <v>153</v>
      </c>
      <c r="V142" s="8"/>
      <c r="W142" s="8"/>
      <c r="X142" s="8" t="s">
        <v>154</v>
      </c>
      <c r="Y142" s="8"/>
      <c r="Z142" s="118" t="s">
        <v>150</v>
      </c>
      <c r="AA142" s="31"/>
      <c r="AB142" s="8" t="s">
        <v>153</v>
      </c>
      <c r="AC142" s="8"/>
      <c r="AD142" s="8"/>
      <c r="AE142" s="8"/>
      <c r="AF142" s="8"/>
    </row>
    <row r="143" s="12" customFormat="1" ht="6" customHeight="1">
      <c r="A143" s="8"/>
      <c r="B143" s="9"/>
      <c r="C143" s="10"/>
      <c r="D143" s="10"/>
      <c r="E143" s="10"/>
      <c r="F143" s="10"/>
      <c r="G143" s="10"/>
      <c r="H143" s="10"/>
      <c r="I143" s="10"/>
      <c r="J143" s="1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="12" customFormat="1" ht="18" customHeight="1">
      <c r="A144" s="8"/>
      <c r="B144" s="9"/>
      <c r="C144" s="10"/>
      <c r="D144" s="10"/>
      <c r="E144" s="10"/>
      <c r="F144" s="10"/>
      <c r="G144" s="10"/>
      <c r="H144" s="10"/>
      <c r="I144" s="10"/>
      <c r="J144" s="11"/>
      <c r="K144" s="8" t="s">
        <v>155</v>
      </c>
      <c r="L144" s="8"/>
      <c r="M144" s="8"/>
      <c r="N144" s="8"/>
      <c r="O144" s="8"/>
      <c r="P144" s="8"/>
      <c r="Q144" s="8"/>
      <c r="R144" s="28" t="s">
        <v>137</v>
      </c>
      <c r="S144" s="28"/>
      <c r="T144" s="2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="12" customFormat="1" ht="8.1500000000000004" customHeight="1">
      <c r="A145" s="8"/>
      <c r="B145" s="9"/>
      <c r="C145" s="10"/>
      <c r="D145" s="10"/>
      <c r="E145" s="10"/>
      <c r="F145" s="10"/>
      <c r="G145" s="10"/>
      <c r="H145" s="10"/>
      <c r="I145" s="10"/>
      <c r="J145" s="1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="12" customFormat="1" ht="18" customHeight="1">
      <c r="A146" s="8"/>
      <c r="B146" s="9" t="s">
        <v>156</v>
      </c>
      <c r="C146" s="10" t="s">
        <v>157</v>
      </c>
      <c r="D146" s="10"/>
      <c r="E146" s="10"/>
      <c r="F146" s="10"/>
      <c r="G146" s="10"/>
      <c r="H146" s="10"/>
      <c r="I146" s="10"/>
      <c r="J146" s="11" t="s">
        <v>10</v>
      </c>
      <c r="K146" s="8" t="s">
        <v>158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="12" customFormat="1" ht="8.1500000000000004" customHeight="1">
      <c r="A147" s="8"/>
      <c r="B147" s="9"/>
      <c r="C147" s="10"/>
      <c r="D147" s="10"/>
      <c r="E147" s="10"/>
      <c r="F147" s="10"/>
      <c r="G147" s="10"/>
      <c r="H147" s="10"/>
      <c r="I147" s="10"/>
      <c r="J147" s="1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="12" customFormat="1" ht="18" customHeight="1">
      <c r="A148" s="8"/>
      <c r="B148" s="9"/>
      <c r="C148" s="10"/>
      <c r="D148" s="10"/>
      <c r="E148" s="10"/>
      <c r="F148" s="10"/>
      <c r="G148" s="10"/>
      <c r="H148" s="10"/>
      <c r="I148" s="10"/>
      <c r="J148" s="11"/>
      <c r="K148" s="8" t="s">
        <v>159</v>
      </c>
      <c r="L148" s="8"/>
      <c r="M148" s="8"/>
      <c r="N148" s="8"/>
      <c r="O148" s="8"/>
      <c r="P148" s="8"/>
      <c r="Q148" s="19" t="s">
        <v>21</v>
      </c>
      <c r="R148" s="20"/>
      <c r="S148" s="15"/>
      <c r="T148" s="15"/>
      <c r="U148" s="21" t="s">
        <v>22</v>
      </c>
      <c r="V148" s="20"/>
      <c r="W148" s="15"/>
      <c r="X148" s="15"/>
      <c r="Y148" s="21" t="s">
        <v>23</v>
      </c>
      <c r="Z148" s="20"/>
      <c r="AA148" s="15"/>
      <c r="AB148" s="15"/>
      <c r="AC148" s="15"/>
      <c r="AD148" s="15"/>
      <c r="AE148" s="8"/>
      <c r="AF148" s="8"/>
    </row>
    <row r="149" s="12" customFormat="1" ht="8.1500000000000004" customHeight="1">
      <c r="A149" s="8"/>
      <c r="B149" s="9"/>
      <c r="C149" s="10"/>
      <c r="D149" s="10"/>
      <c r="E149" s="10"/>
      <c r="F149" s="10"/>
      <c r="G149" s="10"/>
      <c r="H149" s="10"/>
      <c r="I149" s="10"/>
      <c r="J149" s="11"/>
      <c r="K149" s="8"/>
      <c r="L149" s="8"/>
      <c r="M149" s="8"/>
      <c r="N149" s="8"/>
      <c r="O149" s="8"/>
      <c r="P149" s="8"/>
      <c r="Q149" s="19"/>
      <c r="R149" s="19"/>
      <c r="S149" s="8"/>
      <c r="T149" s="8"/>
      <c r="U149" s="19"/>
      <c r="V149" s="19"/>
      <c r="W149" s="8"/>
      <c r="X149" s="8"/>
      <c r="Y149" s="19"/>
      <c r="Z149" s="19"/>
      <c r="AA149" s="8"/>
      <c r="AB149" s="8"/>
      <c r="AC149" s="8"/>
      <c r="AD149" s="8"/>
      <c r="AE149" s="8"/>
      <c r="AF149" s="8"/>
    </row>
    <row r="150" s="12" customFormat="1" ht="18" customHeight="1">
      <c r="A150" s="8"/>
      <c r="B150" s="9"/>
      <c r="C150" s="10"/>
      <c r="D150" s="10"/>
      <c r="E150" s="10"/>
      <c r="F150" s="10"/>
      <c r="G150" s="10"/>
      <c r="H150" s="10"/>
      <c r="I150" s="10"/>
      <c r="J150" s="11"/>
      <c r="K150" s="38" t="s">
        <v>160</v>
      </c>
      <c r="L150" s="27" t="s">
        <v>161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8"/>
    </row>
    <row r="151" s="12" customFormat="1" ht="8.1500000000000004" customHeight="1">
      <c r="A151" s="8"/>
      <c r="B151" s="9"/>
      <c r="C151" s="10"/>
      <c r="D151" s="10"/>
      <c r="E151" s="10"/>
      <c r="F151" s="10"/>
      <c r="G151" s="10"/>
      <c r="H151" s="10"/>
      <c r="I151" s="10"/>
      <c r="J151" s="1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="12" customFormat="1" ht="18" customHeight="1">
      <c r="A152" s="8"/>
      <c r="B152" s="9" t="s">
        <v>162</v>
      </c>
      <c r="C152" s="10" t="s">
        <v>163</v>
      </c>
      <c r="D152" s="10"/>
      <c r="E152" s="10"/>
      <c r="F152" s="10"/>
      <c r="G152" s="10"/>
      <c r="H152" s="10"/>
      <c r="I152" s="10"/>
      <c r="J152" s="11" t="s">
        <v>10</v>
      </c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8"/>
      <c r="AF152" s="8"/>
    </row>
    <row r="153" s="12" customFormat="1" ht="18" customHeight="1">
      <c r="A153" s="8"/>
      <c r="B153" s="9"/>
      <c r="C153" s="10"/>
      <c r="D153" s="10"/>
      <c r="E153" s="10"/>
      <c r="F153" s="10"/>
      <c r="G153" s="10"/>
      <c r="H153" s="10"/>
      <c r="I153" s="10"/>
      <c r="J153" s="11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8"/>
      <c r="AF153" s="8"/>
    </row>
    <row r="154" s="12" customFormat="1" ht="18" customHeight="1">
      <c r="A154" s="8"/>
      <c r="B154" s="9"/>
      <c r="C154" s="10"/>
      <c r="D154" s="10"/>
      <c r="E154" s="10"/>
      <c r="F154" s="10"/>
      <c r="G154" s="10"/>
      <c r="H154" s="10"/>
      <c r="I154" s="10"/>
      <c r="J154" s="11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8"/>
      <c r="AF154" s="8"/>
    </row>
    <row r="155" s="12" customFormat="1" ht="8.1500000000000004" customHeight="1">
      <c r="A155" s="8"/>
      <c r="B155" s="9"/>
      <c r="C155" s="10"/>
      <c r="D155" s="10"/>
      <c r="E155" s="10"/>
      <c r="F155" s="10"/>
      <c r="G155" s="10"/>
      <c r="H155" s="10"/>
      <c r="I155" s="10"/>
      <c r="J155" s="1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="12" customFormat="1" ht="18" customHeight="1">
      <c r="A156" s="8"/>
      <c r="B156" s="9" t="s">
        <v>164</v>
      </c>
      <c r="C156" s="10" t="s">
        <v>165</v>
      </c>
      <c r="D156" s="10"/>
      <c r="E156" s="10"/>
      <c r="F156" s="10"/>
      <c r="G156" s="10"/>
      <c r="H156" s="10"/>
      <c r="I156" s="10"/>
      <c r="J156" s="11" t="s">
        <v>10</v>
      </c>
      <c r="K156" s="8"/>
      <c r="L156" s="8"/>
      <c r="M156" s="9" t="s">
        <v>8</v>
      </c>
      <c r="N156" s="27" t="s">
        <v>166</v>
      </c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="12" customFormat="1" ht="18" customHeight="1">
      <c r="A157" s="8"/>
      <c r="B157" s="9"/>
      <c r="C157" s="10"/>
      <c r="D157" s="10"/>
      <c r="E157" s="10"/>
      <c r="F157" s="10"/>
      <c r="G157" s="10"/>
      <c r="H157" s="10"/>
      <c r="I157" s="10"/>
      <c r="J157" s="11"/>
      <c r="K157" s="8"/>
      <c r="L157" s="8"/>
      <c r="M157" s="9" t="s">
        <v>11</v>
      </c>
      <c r="N157" s="27" t="s">
        <v>166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s="12" customFormat="1" ht="18" customHeight="1">
      <c r="A158" s="8"/>
      <c r="B158" s="9"/>
      <c r="C158" s="10"/>
      <c r="D158" s="10"/>
      <c r="E158" s="10"/>
      <c r="F158" s="10"/>
      <c r="G158" s="10"/>
      <c r="H158" s="10"/>
      <c r="I158" s="10"/>
      <c r="J158" s="11"/>
      <c r="K158" s="8"/>
      <c r="L158" s="8"/>
      <c r="M158" s="9" t="s">
        <v>15</v>
      </c>
      <c r="N158" s="27" t="s">
        <v>166</v>
      </c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s="12" customFormat="1" ht="18" customHeight="1">
      <c r="A159" s="8"/>
      <c r="B159" s="9"/>
      <c r="C159" s="10"/>
      <c r="D159" s="10"/>
      <c r="E159" s="10"/>
      <c r="F159" s="10"/>
      <c r="G159" s="10"/>
      <c r="H159" s="10"/>
      <c r="I159" s="10"/>
      <c r="J159" s="11"/>
      <c r="K159" s="8"/>
      <c r="L159" s="8"/>
      <c r="M159" s="9" t="s">
        <v>19</v>
      </c>
      <c r="N159" s="27" t="s">
        <v>166</v>
      </c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="12" customFormat="1" ht="18" hidden="1" customHeight="1">
      <c r="A160" s="8"/>
      <c r="B160" s="9" t="s">
        <v>120</v>
      </c>
      <c r="C160" s="123" t="s">
        <v>167</v>
      </c>
      <c r="D160" s="10"/>
      <c r="E160" s="10"/>
      <c r="F160" s="10"/>
      <c r="G160" s="10"/>
      <c r="H160" s="10"/>
      <c r="I160" s="10"/>
      <c r="J160" s="11" t="s">
        <v>10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="12" customFormat="1" ht="18" hidden="1" customHeight="1">
      <c r="A161" s="8"/>
      <c r="B161" s="124" t="s">
        <v>168</v>
      </c>
      <c r="C161" s="10"/>
      <c r="D161" s="10"/>
      <c r="E161" s="10"/>
      <c r="F161" s="10"/>
      <c r="G161" s="10"/>
      <c r="H161" s="10"/>
      <c r="I161" s="10"/>
      <c r="J161" s="1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="12" customFormat="1" ht="18" hidden="1" customHeight="1">
      <c r="A162" s="8"/>
      <c r="B162" s="125" t="s">
        <v>169</v>
      </c>
      <c r="C162" s="125"/>
      <c r="D162" s="125"/>
      <c r="E162" s="125"/>
      <c r="F162" s="125"/>
      <c r="G162" s="125"/>
      <c r="H162" s="126" t="s">
        <v>170</v>
      </c>
      <c r="I162" s="126"/>
      <c r="J162" s="126"/>
      <c r="K162" s="127" t="s">
        <v>171</v>
      </c>
      <c r="L162" s="127"/>
      <c r="M162" s="127"/>
      <c r="N162" s="127"/>
      <c r="O162" s="127"/>
      <c r="P162" s="127"/>
      <c r="Q162" s="127"/>
      <c r="R162" s="127"/>
      <c r="S162" s="127" t="s">
        <v>172</v>
      </c>
      <c r="T162" s="127"/>
      <c r="U162" s="127"/>
      <c r="V162" s="127"/>
      <c r="W162" s="127"/>
      <c r="X162" s="127"/>
      <c r="Y162" s="126" t="s">
        <v>170</v>
      </c>
      <c r="Z162" s="126"/>
      <c r="AA162" s="127" t="s">
        <v>173</v>
      </c>
      <c r="AB162" s="127"/>
      <c r="AC162" s="127"/>
      <c r="AD162" s="127"/>
      <c r="AE162" s="127"/>
      <c r="AF162" s="127"/>
    </row>
    <row r="163" s="12" customFormat="1" ht="18" hidden="1" customHeight="1">
      <c r="A163" s="8"/>
      <c r="B163" s="125" t="s">
        <v>174</v>
      </c>
      <c r="C163" s="125"/>
      <c r="D163" s="125"/>
      <c r="E163" s="125"/>
      <c r="F163" s="125"/>
      <c r="G163" s="125"/>
      <c r="H163" s="126" t="s">
        <v>170</v>
      </c>
      <c r="I163" s="126"/>
      <c r="J163" s="126"/>
      <c r="K163" s="127" t="s">
        <v>175</v>
      </c>
      <c r="L163" s="127"/>
      <c r="M163" s="127"/>
      <c r="N163" s="127"/>
      <c r="O163" s="127"/>
      <c r="P163" s="127"/>
      <c r="Q163" s="127"/>
      <c r="R163" s="127"/>
      <c r="S163" s="127" t="s">
        <v>176</v>
      </c>
      <c r="T163" s="127"/>
      <c r="U163" s="127"/>
      <c r="V163" s="127"/>
      <c r="W163" s="127"/>
      <c r="X163" s="127"/>
      <c r="Y163" s="126" t="s">
        <v>170</v>
      </c>
      <c r="Z163" s="126"/>
      <c r="AA163" s="127" t="s">
        <v>177</v>
      </c>
      <c r="AB163" s="127"/>
      <c r="AC163" s="127"/>
      <c r="AD163" s="127"/>
      <c r="AE163" s="127"/>
      <c r="AF163" s="127"/>
    </row>
    <row r="164" s="12" customFormat="1" ht="18" hidden="1" customHeight="1">
      <c r="A164" s="8"/>
      <c r="B164" s="125" t="s">
        <v>178</v>
      </c>
      <c r="C164" s="125"/>
      <c r="D164" s="125"/>
      <c r="E164" s="125"/>
      <c r="F164" s="125"/>
      <c r="G164" s="125"/>
      <c r="H164" s="126" t="s">
        <v>170</v>
      </c>
      <c r="I164" s="126"/>
      <c r="J164" s="126"/>
      <c r="K164" s="127" t="s">
        <v>179</v>
      </c>
      <c r="L164" s="127"/>
      <c r="M164" s="127"/>
      <c r="N164" s="127"/>
      <c r="O164" s="127"/>
      <c r="P164" s="127"/>
      <c r="Q164" s="127"/>
      <c r="R164" s="127"/>
      <c r="S164" s="127" t="s">
        <v>180</v>
      </c>
      <c r="T164" s="127"/>
      <c r="U164" s="127"/>
      <c r="V164" s="127"/>
      <c r="W164" s="127"/>
      <c r="X164" s="127"/>
      <c r="Y164" s="126" t="s">
        <v>170</v>
      </c>
      <c r="Z164" s="126"/>
      <c r="AA164" s="127" t="s">
        <v>181</v>
      </c>
      <c r="AB164" s="127"/>
      <c r="AC164" s="127"/>
      <c r="AD164" s="127"/>
      <c r="AE164" s="127"/>
      <c r="AF164" s="127"/>
    </row>
    <row r="165" s="12" customFormat="1" ht="18" hidden="1" customHeight="1">
      <c r="A165" s="8"/>
      <c r="B165" s="125" t="s">
        <v>182</v>
      </c>
      <c r="C165" s="125"/>
      <c r="D165" s="125"/>
      <c r="E165" s="125"/>
      <c r="F165" s="125"/>
      <c r="G165" s="125"/>
      <c r="H165" s="126" t="s">
        <v>170</v>
      </c>
      <c r="I165" s="126"/>
      <c r="J165" s="126"/>
      <c r="K165" s="127" t="s">
        <v>183</v>
      </c>
      <c r="L165" s="127"/>
      <c r="M165" s="127"/>
      <c r="N165" s="127"/>
      <c r="O165" s="127"/>
      <c r="P165" s="127"/>
      <c r="Q165" s="127"/>
      <c r="R165" s="127"/>
      <c r="S165" s="127" t="s">
        <v>184</v>
      </c>
      <c r="T165" s="127"/>
      <c r="U165" s="127"/>
      <c r="V165" s="127"/>
      <c r="W165" s="127"/>
      <c r="X165" s="127"/>
      <c r="Y165" s="126" t="s">
        <v>170</v>
      </c>
      <c r="Z165" s="126"/>
      <c r="AA165" s="127" t="s">
        <v>185</v>
      </c>
      <c r="AB165" s="127"/>
      <c r="AC165" s="127"/>
      <c r="AD165" s="127"/>
      <c r="AE165" s="127"/>
      <c r="AF165" s="127"/>
    </row>
    <row r="166" s="12" customFormat="1" ht="18" hidden="1" customHeight="1">
      <c r="A166" s="8"/>
      <c r="B166" s="125"/>
      <c r="C166" s="125"/>
      <c r="D166" s="125"/>
      <c r="E166" s="125"/>
      <c r="F166" s="125"/>
      <c r="G166" s="125"/>
      <c r="H166" s="126"/>
      <c r="I166" s="126"/>
      <c r="J166" s="126"/>
      <c r="K166" s="127"/>
      <c r="L166" s="127"/>
      <c r="M166" s="127"/>
      <c r="N166" s="127"/>
      <c r="O166" s="127"/>
      <c r="P166" s="127"/>
      <c r="Q166" s="127"/>
      <c r="R166" s="127"/>
      <c r="S166" s="127" t="s">
        <v>186</v>
      </c>
      <c r="T166" s="127"/>
      <c r="U166" s="127"/>
      <c r="V166" s="127"/>
      <c r="W166" s="127"/>
      <c r="X166" s="127"/>
      <c r="Y166" s="126" t="s">
        <v>170</v>
      </c>
      <c r="Z166" s="126"/>
      <c r="AA166" s="127" t="s">
        <v>187</v>
      </c>
      <c r="AB166" s="127"/>
      <c r="AC166" s="127"/>
      <c r="AD166" s="127"/>
      <c r="AE166" s="127"/>
      <c r="AF166" s="127"/>
    </row>
    <row r="167" s="12" customFormat="1" ht="18" hidden="1" customHeight="1">
      <c r="A167" s="8"/>
      <c r="B167" s="125" t="s">
        <v>188</v>
      </c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7"/>
      <c r="R167" s="127"/>
      <c r="S167" s="127" t="s">
        <v>189</v>
      </c>
      <c r="T167" s="127"/>
      <c r="U167" s="127"/>
      <c r="V167" s="127"/>
      <c r="W167" s="127"/>
      <c r="X167" s="127"/>
      <c r="Y167" s="126" t="s">
        <v>170</v>
      </c>
      <c r="Z167" s="126"/>
      <c r="AA167" s="127" t="s">
        <v>190</v>
      </c>
      <c r="AB167" s="127"/>
      <c r="AC167" s="127"/>
      <c r="AD167" s="127"/>
      <c r="AE167" s="127"/>
      <c r="AF167" s="127"/>
    </row>
    <row r="168" s="12" customFormat="1" ht="18" hidden="1" customHeight="1">
      <c r="A168" s="8"/>
      <c r="B168" s="128" t="s">
        <v>191</v>
      </c>
      <c r="C168" s="128"/>
      <c r="D168" s="128"/>
      <c r="E168" s="128"/>
      <c r="F168" s="128"/>
      <c r="G168" s="128"/>
      <c r="H168" s="126" t="s">
        <v>170</v>
      </c>
      <c r="I168" s="126"/>
      <c r="J168" s="126"/>
      <c r="K168" s="128" t="s">
        <v>192</v>
      </c>
      <c r="L168" s="128"/>
      <c r="M168" s="128"/>
      <c r="N168" s="128"/>
      <c r="O168" s="128"/>
      <c r="P168" s="128"/>
      <c r="Q168" s="127"/>
      <c r="R168" s="127"/>
      <c r="S168" s="127" t="s">
        <v>193</v>
      </c>
      <c r="T168" s="127"/>
      <c r="U168" s="127"/>
      <c r="V168" s="127"/>
      <c r="W168" s="127"/>
      <c r="X168" s="127"/>
      <c r="Y168" s="126" t="s">
        <v>170</v>
      </c>
      <c r="Z168" s="126"/>
      <c r="AA168" s="127" t="s">
        <v>194</v>
      </c>
      <c r="AB168" s="127"/>
      <c r="AC168" s="127"/>
      <c r="AD168" s="127"/>
      <c r="AE168" s="127"/>
      <c r="AF168" s="127"/>
    </row>
    <row r="169" s="12" customFormat="1" ht="18" hidden="1" customHeight="1">
      <c r="A169" s="8"/>
      <c r="B169" s="125" t="s">
        <v>195</v>
      </c>
      <c r="C169" s="125"/>
      <c r="D169" s="125"/>
      <c r="E169" s="125"/>
      <c r="F169" s="125"/>
      <c r="G169" s="125"/>
      <c r="H169" s="126" t="s">
        <v>170</v>
      </c>
      <c r="I169" s="126"/>
      <c r="J169" s="126"/>
      <c r="K169" s="127" t="s">
        <v>196</v>
      </c>
      <c r="L169" s="127"/>
      <c r="M169" s="127"/>
      <c r="N169" s="127"/>
      <c r="O169" s="127"/>
      <c r="P169" s="127"/>
      <c r="Q169" s="127"/>
      <c r="R169" s="127"/>
      <c r="S169" s="127" t="s">
        <v>197</v>
      </c>
      <c r="T169" s="127"/>
      <c r="U169" s="127"/>
      <c r="V169" s="127"/>
      <c r="W169" s="127"/>
      <c r="X169" s="127"/>
      <c r="Y169" s="126" t="s">
        <v>170</v>
      </c>
      <c r="Z169" s="126"/>
      <c r="AA169" s="127" t="s">
        <v>198</v>
      </c>
      <c r="AB169" s="127"/>
      <c r="AC169" s="127"/>
      <c r="AD169" s="127"/>
      <c r="AE169" s="127"/>
      <c r="AF169" s="127"/>
    </row>
    <row r="170" s="12" customFormat="1" ht="18" hidden="1" customHeight="1">
      <c r="A170" s="8"/>
      <c r="B170" s="125" t="s">
        <v>199</v>
      </c>
      <c r="C170" s="125"/>
      <c r="D170" s="125"/>
      <c r="E170" s="125"/>
      <c r="F170" s="125"/>
      <c r="G170" s="125"/>
      <c r="H170" s="126" t="s">
        <v>170</v>
      </c>
      <c r="I170" s="126"/>
      <c r="J170" s="126"/>
      <c r="K170" s="127" t="s">
        <v>200</v>
      </c>
      <c r="L170" s="127"/>
      <c r="M170" s="127"/>
      <c r="N170" s="127"/>
      <c r="O170" s="127"/>
      <c r="P170" s="127"/>
      <c r="Q170" s="127"/>
      <c r="R170" s="127"/>
      <c r="S170" s="127" t="s">
        <v>201</v>
      </c>
      <c r="T170" s="127"/>
      <c r="U170" s="127"/>
      <c r="V170" s="127"/>
      <c r="W170" s="127"/>
      <c r="X170" s="127"/>
      <c r="Y170" s="126" t="s">
        <v>170</v>
      </c>
      <c r="Z170" s="126"/>
      <c r="AA170" s="127" t="s">
        <v>202</v>
      </c>
      <c r="AB170" s="127"/>
      <c r="AC170" s="127"/>
      <c r="AD170" s="127"/>
      <c r="AE170" s="127"/>
      <c r="AF170" s="127"/>
    </row>
    <row r="171" s="12" customFormat="1" ht="18" hidden="1" customHeight="1">
      <c r="A171" s="8"/>
      <c r="B171" s="125" t="s">
        <v>203</v>
      </c>
      <c r="C171" s="125"/>
      <c r="D171" s="125"/>
      <c r="E171" s="125"/>
      <c r="F171" s="125"/>
      <c r="G171" s="125"/>
      <c r="H171" s="126" t="s">
        <v>170</v>
      </c>
      <c r="I171" s="126"/>
      <c r="J171" s="126"/>
      <c r="K171" s="127" t="s">
        <v>204</v>
      </c>
      <c r="L171" s="127"/>
      <c r="M171" s="127"/>
      <c r="N171" s="127"/>
      <c r="O171" s="127"/>
      <c r="P171" s="127"/>
      <c r="Q171" s="127"/>
      <c r="R171" s="127"/>
      <c r="S171" s="127" t="s">
        <v>205</v>
      </c>
      <c r="T171" s="127"/>
      <c r="U171" s="127"/>
      <c r="V171" s="127"/>
      <c r="W171" s="127"/>
      <c r="X171" s="127"/>
      <c r="Y171" s="126" t="s">
        <v>170</v>
      </c>
      <c r="Z171" s="126"/>
      <c r="AA171" s="127" t="s">
        <v>206</v>
      </c>
      <c r="AB171" s="127"/>
      <c r="AC171" s="127"/>
      <c r="AD171" s="127"/>
      <c r="AE171" s="127"/>
      <c r="AF171" s="127"/>
    </row>
    <row r="172" s="12" customFormat="1" ht="18" hidden="1" customHeight="1">
      <c r="A172" s="8"/>
      <c r="B172" s="125" t="s">
        <v>207</v>
      </c>
      <c r="C172" s="125"/>
      <c r="D172" s="125"/>
      <c r="E172" s="125"/>
      <c r="F172" s="125"/>
      <c r="G172" s="125"/>
      <c r="H172" s="126" t="s">
        <v>170</v>
      </c>
      <c r="I172" s="126"/>
      <c r="J172" s="126"/>
      <c r="K172" s="127" t="s">
        <v>208</v>
      </c>
      <c r="L172" s="127"/>
      <c r="M172" s="127"/>
      <c r="N172" s="127"/>
      <c r="O172" s="127"/>
      <c r="P172" s="127"/>
      <c r="Q172" s="127"/>
      <c r="R172" s="127"/>
      <c r="S172" s="127" t="s">
        <v>209</v>
      </c>
      <c r="T172" s="127"/>
      <c r="U172" s="127"/>
      <c r="V172" s="127"/>
      <c r="W172" s="127"/>
      <c r="X172" s="127"/>
      <c r="Y172" s="126" t="s">
        <v>170</v>
      </c>
      <c r="Z172" s="126"/>
      <c r="AA172" s="127" t="s">
        <v>210</v>
      </c>
      <c r="AB172" s="127"/>
      <c r="AC172" s="127"/>
      <c r="AD172" s="127"/>
      <c r="AE172" s="127"/>
      <c r="AF172" s="127"/>
    </row>
    <row r="173" s="12" customFormat="1" ht="18" hidden="1" customHeight="1">
      <c r="A173" s="8"/>
      <c r="B173" s="125" t="s">
        <v>211</v>
      </c>
      <c r="C173" s="125"/>
      <c r="D173" s="125"/>
      <c r="E173" s="125"/>
      <c r="F173" s="125"/>
      <c r="G173" s="125"/>
      <c r="H173" s="126" t="s">
        <v>170</v>
      </c>
      <c r="I173" s="126"/>
      <c r="J173" s="126"/>
      <c r="K173" s="127" t="s">
        <v>212</v>
      </c>
      <c r="L173" s="127"/>
      <c r="M173" s="127"/>
      <c r="N173" s="127"/>
      <c r="O173" s="127"/>
      <c r="P173" s="127"/>
      <c r="Q173" s="127"/>
      <c r="R173" s="127"/>
      <c r="S173" s="127" t="s">
        <v>213</v>
      </c>
      <c r="T173" s="127"/>
      <c r="U173" s="127"/>
      <c r="V173" s="127"/>
      <c r="W173" s="127"/>
      <c r="X173" s="127"/>
      <c r="Y173" s="126" t="s">
        <v>170</v>
      </c>
      <c r="Z173" s="126"/>
      <c r="AA173" s="127" t="s">
        <v>214</v>
      </c>
      <c r="AB173" s="127"/>
      <c r="AC173" s="127"/>
      <c r="AD173" s="127"/>
      <c r="AE173" s="127"/>
      <c r="AF173" s="127"/>
    </row>
    <row r="174" s="12" customFormat="1" ht="18" hidden="1" customHeight="1">
      <c r="A174" s="8"/>
      <c r="B174" s="125" t="s">
        <v>215</v>
      </c>
      <c r="C174" s="125"/>
      <c r="D174" s="125"/>
      <c r="E174" s="125"/>
      <c r="F174" s="125"/>
      <c r="G174" s="125"/>
      <c r="H174" s="126" t="s">
        <v>170</v>
      </c>
      <c r="I174" s="126"/>
      <c r="J174" s="126"/>
      <c r="K174" s="125" t="s">
        <v>216</v>
      </c>
      <c r="L174" s="125"/>
      <c r="M174" s="125"/>
      <c r="N174" s="125"/>
      <c r="O174" s="125"/>
      <c r="P174" s="125"/>
      <c r="Q174" s="127"/>
      <c r="R174" s="127"/>
      <c r="S174" s="127" t="s">
        <v>217</v>
      </c>
      <c r="T174" s="127"/>
      <c r="U174" s="127"/>
      <c r="V174" s="127"/>
      <c r="W174" s="127"/>
      <c r="X174" s="127"/>
      <c r="Y174" s="126" t="s">
        <v>170</v>
      </c>
      <c r="Z174" s="126"/>
      <c r="AA174" s="127" t="s">
        <v>218</v>
      </c>
      <c r="AB174" s="127"/>
      <c r="AC174" s="127"/>
      <c r="AD174" s="127"/>
      <c r="AE174" s="127"/>
      <c r="AF174" s="127"/>
    </row>
    <row r="175" s="12" customFormat="1" ht="18" hidden="1" customHeight="1">
      <c r="A175" s="8"/>
      <c r="B175" s="125" t="s">
        <v>219</v>
      </c>
      <c r="C175" s="125"/>
      <c r="D175" s="125"/>
      <c r="E175" s="125"/>
      <c r="F175" s="125"/>
      <c r="G175" s="125"/>
      <c r="H175" s="126" t="s">
        <v>170</v>
      </c>
      <c r="I175" s="126"/>
      <c r="J175" s="126"/>
      <c r="K175" s="127" t="s">
        <v>220</v>
      </c>
      <c r="L175" s="127"/>
      <c r="M175" s="127"/>
      <c r="N175" s="127"/>
      <c r="O175" s="127"/>
      <c r="P175" s="127"/>
      <c r="Q175" s="127"/>
      <c r="R175" s="127"/>
      <c r="S175" s="127" t="s">
        <v>221</v>
      </c>
      <c r="T175" s="127"/>
      <c r="U175" s="127"/>
      <c r="V175" s="127"/>
      <c r="W175" s="127"/>
      <c r="X175" s="127"/>
      <c r="Y175" s="126" t="s">
        <v>170</v>
      </c>
      <c r="Z175" s="126"/>
      <c r="AA175" s="127" t="s">
        <v>222</v>
      </c>
      <c r="AB175" s="127"/>
      <c r="AC175" s="127"/>
      <c r="AD175" s="127"/>
      <c r="AE175" s="127"/>
      <c r="AF175" s="127"/>
    </row>
    <row r="176" s="12" customFormat="1" ht="18" hidden="1" customHeight="1">
      <c r="A176" s="8"/>
      <c r="B176" s="125" t="s">
        <v>223</v>
      </c>
      <c r="C176" s="125"/>
      <c r="D176" s="125"/>
      <c r="E176" s="125"/>
      <c r="F176" s="125"/>
      <c r="G176" s="125"/>
      <c r="H176" s="126" t="s">
        <v>170</v>
      </c>
      <c r="I176" s="126"/>
      <c r="J176" s="126"/>
      <c r="K176" s="127" t="s">
        <v>224</v>
      </c>
      <c r="L176" s="127"/>
      <c r="M176" s="127"/>
      <c r="N176" s="127"/>
      <c r="O176" s="127"/>
      <c r="P176" s="127"/>
      <c r="Q176" s="127"/>
      <c r="R176" s="127"/>
      <c r="S176" s="127" t="s">
        <v>225</v>
      </c>
      <c r="T176" s="127"/>
      <c r="U176" s="127"/>
      <c r="V176" s="127"/>
      <c r="W176" s="127"/>
      <c r="X176" s="127"/>
      <c r="Y176" s="126" t="s">
        <v>170</v>
      </c>
      <c r="Z176" s="126"/>
      <c r="AA176" s="127" t="s">
        <v>226</v>
      </c>
      <c r="AB176" s="127"/>
      <c r="AC176" s="127"/>
      <c r="AD176" s="127"/>
      <c r="AE176" s="127"/>
      <c r="AF176" s="127"/>
    </row>
    <row r="177" s="12" customFormat="1" ht="18" hidden="1" customHeight="1">
      <c r="A177" s="8"/>
      <c r="B177" s="125" t="s">
        <v>227</v>
      </c>
      <c r="C177" s="125"/>
      <c r="D177" s="125"/>
      <c r="E177" s="125"/>
      <c r="F177" s="125"/>
      <c r="G177" s="125"/>
      <c r="H177" s="126" t="s">
        <v>170</v>
      </c>
      <c r="I177" s="126"/>
      <c r="J177" s="126"/>
      <c r="K177" s="127" t="s">
        <v>228</v>
      </c>
      <c r="L177" s="127"/>
      <c r="M177" s="127"/>
      <c r="N177" s="127"/>
      <c r="O177" s="127"/>
      <c r="P177" s="127"/>
      <c r="Q177" s="127"/>
      <c r="R177" s="127"/>
      <c r="S177" s="127" t="s">
        <v>229</v>
      </c>
      <c r="T177" s="127"/>
      <c r="U177" s="127"/>
      <c r="V177" s="127"/>
      <c r="W177" s="127"/>
      <c r="X177" s="127"/>
      <c r="Y177" s="126" t="s">
        <v>170</v>
      </c>
      <c r="Z177" s="126"/>
      <c r="AA177" s="127" t="s">
        <v>230</v>
      </c>
      <c r="AB177" s="127"/>
      <c r="AC177" s="127"/>
      <c r="AD177" s="127"/>
      <c r="AE177" s="127"/>
      <c r="AF177" s="127"/>
    </row>
    <row r="178" s="12" customFormat="1" ht="18" hidden="1" customHeight="1">
      <c r="A178" s="8"/>
      <c r="B178" s="125" t="s">
        <v>231</v>
      </c>
      <c r="C178" s="125"/>
      <c r="D178" s="125"/>
      <c r="E178" s="125"/>
      <c r="F178" s="125"/>
      <c r="G178" s="125"/>
      <c r="H178" s="126" t="s">
        <v>170</v>
      </c>
      <c r="I178" s="126"/>
      <c r="J178" s="126"/>
      <c r="K178" s="127" t="s">
        <v>232</v>
      </c>
      <c r="L178" s="127"/>
      <c r="M178" s="127"/>
      <c r="N178" s="127"/>
      <c r="O178" s="127"/>
      <c r="P178" s="127"/>
      <c r="Q178" s="127"/>
      <c r="R178" s="127"/>
      <c r="S178" s="127" t="s">
        <v>233</v>
      </c>
      <c r="T178" s="127"/>
      <c r="U178" s="127"/>
      <c r="V178" s="127"/>
      <c r="W178" s="127"/>
      <c r="X178" s="127"/>
      <c r="Y178" s="126" t="s">
        <v>170</v>
      </c>
      <c r="Z178" s="126"/>
      <c r="AA178" s="127" t="s">
        <v>234</v>
      </c>
      <c r="AB178" s="127"/>
      <c r="AC178" s="127"/>
      <c r="AD178" s="127"/>
      <c r="AE178" s="127"/>
      <c r="AF178" s="127"/>
    </row>
    <row r="179" s="12" customFormat="1" ht="18" hidden="1" customHeight="1">
      <c r="A179" s="8"/>
      <c r="B179" s="125" t="s">
        <v>235</v>
      </c>
      <c r="C179" s="125"/>
      <c r="D179" s="125"/>
      <c r="E179" s="125"/>
      <c r="F179" s="125"/>
      <c r="G179" s="125"/>
      <c r="H179" s="126" t="s">
        <v>170</v>
      </c>
      <c r="I179" s="126"/>
      <c r="J179" s="126"/>
      <c r="K179" s="127" t="s">
        <v>236</v>
      </c>
      <c r="L179" s="127"/>
      <c r="M179" s="127"/>
      <c r="N179" s="127"/>
      <c r="O179" s="127"/>
      <c r="P179" s="127"/>
      <c r="Q179" s="127"/>
      <c r="R179" s="127"/>
      <c r="S179" s="127" t="s">
        <v>237</v>
      </c>
      <c r="T179" s="127"/>
      <c r="U179" s="127"/>
      <c r="V179" s="127"/>
      <c r="W179" s="127"/>
      <c r="X179" s="127"/>
      <c r="Y179" s="126" t="s">
        <v>170</v>
      </c>
      <c r="Z179" s="126"/>
      <c r="AA179" s="127" t="s">
        <v>238</v>
      </c>
      <c r="AB179" s="127"/>
      <c r="AC179" s="127"/>
      <c r="AD179" s="127"/>
      <c r="AE179" s="127"/>
      <c r="AF179" s="127"/>
    </row>
    <row r="180" s="12" customFormat="1" ht="18" hidden="1" customHeight="1">
      <c r="A180" s="8"/>
      <c r="B180" s="125" t="s">
        <v>239</v>
      </c>
      <c r="C180" s="125"/>
      <c r="D180" s="125"/>
      <c r="E180" s="125"/>
      <c r="F180" s="125"/>
      <c r="G180" s="125"/>
      <c r="H180" s="126" t="s">
        <v>170</v>
      </c>
      <c r="I180" s="126"/>
      <c r="J180" s="126"/>
      <c r="K180" s="127" t="s">
        <v>240</v>
      </c>
      <c r="L180" s="127"/>
      <c r="M180" s="127"/>
      <c r="N180" s="127"/>
      <c r="O180" s="127"/>
      <c r="P180" s="127"/>
      <c r="Q180" s="127"/>
      <c r="R180" s="127"/>
      <c r="S180" s="127" t="s">
        <v>241</v>
      </c>
      <c r="T180" s="127"/>
      <c r="U180" s="127"/>
      <c r="V180" s="127"/>
      <c r="W180" s="127"/>
      <c r="X180" s="127"/>
      <c r="Y180" s="126" t="s">
        <v>170</v>
      </c>
      <c r="Z180" s="126"/>
      <c r="AA180" s="127" t="s">
        <v>242</v>
      </c>
      <c r="AB180" s="127"/>
      <c r="AC180" s="127"/>
      <c r="AD180" s="127"/>
      <c r="AE180" s="127"/>
      <c r="AF180" s="127"/>
    </row>
    <row r="181" s="12" customFormat="1" ht="18" hidden="1" customHeight="1">
      <c r="A181" s="8"/>
      <c r="B181" s="125" t="s">
        <v>243</v>
      </c>
      <c r="C181" s="125"/>
      <c r="D181" s="125"/>
      <c r="E181" s="125"/>
      <c r="F181" s="125"/>
      <c r="G181" s="125"/>
      <c r="H181" s="126" t="s">
        <v>170</v>
      </c>
      <c r="I181" s="126"/>
      <c r="J181" s="126"/>
      <c r="K181" s="127" t="s">
        <v>244</v>
      </c>
      <c r="L181" s="127"/>
      <c r="M181" s="127"/>
      <c r="N181" s="127"/>
      <c r="O181" s="127"/>
      <c r="P181" s="127"/>
      <c r="Q181" s="127"/>
      <c r="R181" s="127"/>
      <c r="S181" s="127" t="s">
        <v>245</v>
      </c>
      <c r="T181" s="127"/>
      <c r="U181" s="127"/>
      <c r="V181" s="127"/>
      <c r="W181" s="127"/>
      <c r="X181" s="127"/>
      <c r="Y181" s="126" t="s">
        <v>170</v>
      </c>
      <c r="Z181" s="126"/>
      <c r="AA181" s="127" t="s">
        <v>246</v>
      </c>
      <c r="AB181" s="127"/>
      <c r="AC181" s="127"/>
      <c r="AD181" s="127"/>
      <c r="AE181" s="127"/>
      <c r="AF181" s="127"/>
    </row>
    <row r="182" s="12" customFormat="1" ht="18" hidden="1" customHeight="1">
      <c r="A182" s="8"/>
      <c r="B182" s="125" t="s">
        <v>247</v>
      </c>
      <c r="C182" s="125"/>
      <c r="D182" s="125"/>
      <c r="E182" s="125"/>
      <c r="F182" s="125"/>
      <c r="G182" s="125"/>
      <c r="H182" s="126" t="s">
        <v>170</v>
      </c>
      <c r="I182" s="126"/>
      <c r="J182" s="126"/>
      <c r="K182" s="127" t="s">
        <v>248</v>
      </c>
      <c r="L182" s="127"/>
      <c r="M182" s="127"/>
      <c r="N182" s="127"/>
      <c r="O182" s="127"/>
      <c r="P182" s="127"/>
      <c r="Q182" s="127"/>
      <c r="R182" s="127"/>
      <c r="S182" s="127" t="s">
        <v>249</v>
      </c>
      <c r="T182" s="127"/>
      <c r="U182" s="127"/>
      <c r="V182" s="127"/>
      <c r="W182" s="127"/>
      <c r="X182" s="127"/>
      <c r="Y182" s="126" t="s">
        <v>170</v>
      </c>
      <c r="Z182" s="126"/>
      <c r="AA182" s="127" t="s">
        <v>250</v>
      </c>
      <c r="AB182" s="127"/>
      <c r="AC182" s="127"/>
      <c r="AD182" s="127"/>
      <c r="AE182" s="127"/>
      <c r="AF182" s="127"/>
    </row>
    <row r="183" s="12" customFormat="1" ht="18" hidden="1" customHeight="1">
      <c r="A183" s="8"/>
      <c r="B183" s="125" t="s">
        <v>251</v>
      </c>
      <c r="C183" s="125"/>
      <c r="D183" s="125"/>
      <c r="E183" s="125"/>
      <c r="F183" s="125"/>
      <c r="G183" s="125"/>
      <c r="H183" s="126" t="s">
        <v>170</v>
      </c>
      <c r="I183" s="126"/>
      <c r="J183" s="126"/>
      <c r="K183" s="127" t="s">
        <v>252</v>
      </c>
      <c r="L183" s="127"/>
      <c r="M183" s="127"/>
      <c r="N183" s="127"/>
      <c r="O183" s="127"/>
      <c r="P183" s="127"/>
      <c r="Q183" s="127"/>
      <c r="R183" s="127"/>
      <c r="S183" s="127" t="s">
        <v>253</v>
      </c>
      <c r="T183" s="127"/>
      <c r="U183" s="127"/>
      <c r="V183" s="127"/>
      <c r="W183" s="127"/>
      <c r="X183" s="127"/>
      <c r="Y183" s="126" t="s">
        <v>170</v>
      </c>
      <c r="Z183" s="126"/>
      <c r="AA183" s="127" t="s">
        <v>254</v>
      </c>
      <c r="AB183" s="127"/>
      <c r="AC183" s="127"/>
      <c r="AD183" s="127"/>
      <c r="AE183" s="127"/>
      <c r="AF183" s="127"/>
    </row>
    <row r="184" s="12" customFormat="1" ht="18" hidden="1" customHeight="1">
      <c r="A184" s="8"/>
      <c r="B184" s="125" t="s">
        <v>255</v>
      </c>
      <c r="C184" s="125"/>
      <c r="D184" s="125"/>
      <c r="E184" s="125"/>
      <c r="F184" s="125"/>
      <c r="G184" s="125"/>
      <c r="H184" s="126" t="s">
        <v>170</v>
      </c>
      <c r="I184" s="126"/>
      <c r="J184" s="126"/>
      <c r="K184" s="127" t="s">
        <v>256</v>
      </c>
      <c r="L184" s="127"/>
      <c r="M184" s="127"/>
      <c r="N184" s="127"/>
      <c r="O184" s="127"/>
      <c r="P184" s="127"/>
      <c r="Q184" s="127"/>
      <c r="R184" s="127"/>
      <c r="S184" s="127" t="s">
        <v>257</v>
      </c>
      <c r="T184" s="127"/>
      <c r="U184" s="127"/>
      <c r="V184" s="127"/>
      <c r="W184" s="127"/>
      <c r="X184" s="127"/>
      <c r="Y184" s="126" t="s">
        <v>170</v>
      </c>
      <c r="Z184" s="126"/>
      <c r="AA184" s="127" t="s">
        <v>258</v>
      </c>
      <c r="AB184" s="127"/>
      <c r="AC184" s="127"/>
      <c r="AD184" s="127"/>
      <c r="AE184" s="127"/>
      <c r="AF184" s="127"/>
    </row>
    <row r="185" s="12" customFormat="1" ht="18" hidden="1" customHeight="1">
      <c r="A185" s="8"/>
      <c r="B185" s="125" t="s">
        <v>259</v>
      </c>
      <c r="C185" s="125"/>
      <c r="D185" s="125"/>
      <c r="E185" s="125"/>
      <c r="F185" s="125"/>
      <c r="G185" s="125"/>
      <c r="H185" s="126" t="s">
        <v>170</v>
      </c>
      <c r="I185" s="126"/>
      <c r="J185" s="126"/>
      <c r="K185" s="127" t="s">
        <v>260</v>
      </c>
      <c r="L185" s="127"/>
      <c r="M185" s="127"/>
      <c r="N185" s="127"/>
      <c r="O185" s="127"/>
      <c r="P185" s="127"/>
      <c r="Q185" s="127"/>
      <c r="R185" s="127"/>
      <c r="S185" s="127" t="s">
        <v>261</v>
      </c>
      <c r="T185" s="127"/>
      <c r="U185" s="127"/>
      <c r="V185" s="127"/>
      <c r="W185" s="127"/>
      <c r="X185" s="127"/>
      <c r="Y185" s="126" t="s">
        <v>170</v>
      </c>
      <c r="Z185" s="126"/>
      <c r="AA185" s="127" t="s">
        <v>262</v>
      </c>
      <c r="AB185" s="127"/>
      <c r="AC185" s="127"/>
      <c r="AD185" s="127"/>
      <c r="AE185" s="127"/>
      <c r="AF185" s="127"/>
    </row>
    <row r="186" s="12" customFormat="1" ht="18" hidden="1" customHeight="1">
      <c r="A186" s="8"/>
      <c r="B186" s="125" t="s">
        <v>263</v>
      </c>
      <c r="C186" s="125"/>
      <c r="D186" s="125"/>
      <c r="E186" s="125"/>
      <c r="F186" s="125"/>
      <c r="G186" s="125"/>
      <c r="H186" s="126" t="s">
        <v>170</v>
      </c>
      <c r="I186" s="126"/>
      <c r="J186" s="126"/>
      <c r="K186" s="127" t="s">
        <v>264</v>
      </c>
      <c r="L186" s="127"/>
      <c r="M186" s="127"/>
      <c r="N186" s="127"/>
      <c r="O186" s="127"/>
      <c r="P186" s="127"/>
      <c r="Q186" s="127"/>
      <c r="R186" s="127"/>
      <c r="S186" s="127" t="s">
        <v>265</v>
      </c>
      <c r="T186" s="127"/>
      <c r="U186" s="127"/>
      <c r="V186" s="127"/>
      <c r="W186" s="127"/>
      <c r="X186" s="127"/>
      <c r="Y186" s="126" t="s">
        <v>170</v>
      </c>
      <c r="Z186" s="126"/>
      <c r="AA186" s="127" t="s">
        <v>266</v>
      </c>
      <c r="AB186" s="127"/>
      <c r="AC186" s="127"/>
      <c r="AD186" s="127"/>
      <c r="AE186" s="127"/>
      <c r="AF186" s="127"/>
    </row>
    <row r="187" s="12" customFormat="1" ht="18" hidden="1" customHeight="1">
      <c r="A187" s="8"/>
      <c r="B187" s="125" t="s">
        <v>267</v>
      </c>
      <c r="C187" s="125"/>
      <c r="D187" s="125"/>
      <c r="E187" s="125"/>
      <c r="F187" s="125"/>
      <c r="G187" s="125"/>
      <c r="H187" s="126" t="s">
        <v>170</v>
      </c>
      <c r="I187" s="126"/>
      <c r="J187" s="126"/>
      <c r="K187" s="127" t="s">
        <v>268</v>
      </c>
      <c r="L187" s="127"/>
      <c r="M187" s="127"/>
      <c r="N187" s="127"/>
      <c r="O187" s="127"/>
      <c r="P187" s="127"/>
      <c r="Q187" s="127"/>
      <c r="R187" s="127"/>
      <c r="S187" s="127" t="s">
        <v>269</v>
      </c>
      <c r="T187" s="127"/>
      <c r="U187" s="127"/>
      <c r="V187" s="127"/>
      <c r="W187" s="127"/>
      <c r="X187" s="127"/>
      <c r="Y187" s="126" t="s">
        <v>170</v>
      </c>
      <c r="Z187" s="126"/>
      <c r="AA187" s="127" t="s">
        <v>270</v>
      </c>
      <c r="AB187" s="127"/>
      <c r="AC187" s="127"/>
      <c r="AD187" s="127"/>
      <c r="AE187" s="127"/>
      <c r="AF187" s="127"/>
    </row>
    <row r="188" s="12" customFormat="1" ht="18" hidden="1" customHeight="1">
      <c r="A188" s="8"/>
      <c r="B188" s="125" t="s">
        <v>271</v>
      </c>
      <c r="C188" s="125"/>
      <c r="D188" s="125"/>
      <c r="E188" s="125"/>
      <c r="F188" s="125"/>
      <c r="G188" s="125"/>
      <c r="H188" s="126" t="s">
        <v>170</v>
      </c>
      <c r="I188" s="126"/>
      <c r="J188" s="126"/>
      <c r="K188" s="127" t="s">
        <v>272</v>
      </c>
      <c r="L188" s="127"/>
      <c r="M188" s="127"/>
      <c r="N188" s="127"/>
      <c r="O188" s="127"/>
      <c r="P188" s="127"/>
      <c r="Q188" s="127"/>
      <c r="R188" s="127"/>
      <c r="S188" s="127" t="s">
        <v>273</v>
      </c>
      <c r="T188" s="127"/>
      <c r="U188" s="127"/>
      <c r="V188" s="127"/>
      <c r="W188" s="127"/>
      <c r="X188" s="127"/>
      <c r="Y188" s="126" t="s">
        <v>170</v>
      </c>
      <c r="Z188" s="126"/>
      <c r="AA188" s="127" t="s">
        <v>274</v>
      </c>
      <c r="AB188" s="127"/>
      <c r="AC188" s="127"/>
      <c r="AD188" s="127"/>
      <c r="AE188" s="127"/>
      <c r="AF188" s="127"/>
    </row>
    <row r="189" s="12" customFormat="1" ht="18" hidden="1" customHeight="1">
      <c r="A189" s="8"/>
      <c r="B189" s="125" t="s">
        <v>275</v>
      </c>
      <c r="C189" s="125"/>
      <c r="D189" s="125"/>
      <c r="E189" s="125"/>
      <c r="F189" s="125"/>
      <c r="G189" s="125"/>
      <c r="H189" s="126" t="s">
        <v>170</v>
      </c>
      <c r="I189" s="126"/>
      <c r="J189" s="126"/>
      <c r="K189" s="127" t="s">
        <v>276</v>
      </c>
      <c r="L189" s="127"/>
      <c r="M189" s="127"/>
      <c r="N189" s="127"/>
      <c r="O189" s="127"/>
      <c r="P189" s="127"/>
      <c r="Q189" s="127"/>
      <c r="R189" s="127"/>
      <c r="S189" s="127" t="s">
        <v>277</v>
      </c>
      <c r="T189" s="127"/>
      <c r="U189" s="127"/>
      <c r="V189" s="127"/>
      <c r="W189" s="127"/>
      <c r="X189" s="127"/>
      <c r="Y189" s="126" t="s">
        <v>170</v>
      </c>
      <c r="Z189" s="126"/>
      <c r="AA189" s="127" t="s">
        <v>278</v>
      </c>
      <c r="AB189" s="127"/>
      <c r="AC189" s="127"/>
      <c r="AD189" s="127"/>
      <c r="AE189" s="127"/>
      <c r="AF189" s="127"/>
    </row>
    <row r="190" s="12" customFormat="1" ht="18" hidden="1" customHeight="1">
      <c r="A190" s="8"/>
      <c r="B190" s="125" t="s">
        <v>279</v>
      </c>
      <c r="C190" s="125"/>
      <c r="D190" s="125"/>
      <c r="E190" s="125"/>
      <c r="F190" s="125"/>
      <c r="G190" s="125"/>
      <c r="H190" s="126" t="s">
        <v>170</v>
      </c>
      <c r="I190" s="126"/>
      <c r="J190" s="126"/>
      <c r="K190" s="127" t="s">
        <v>280</v>
      </c>
      <c r="L190" s="127"/>
      <c r="M190" s="127"/>
      <c r="N190" s="127"/>
      <c r="O190" s="127"/>
      <c r="P190" s="127"/>
      <c r="Q190" s="127"/>
      <c r="R190" s="127"/>
      <c r="S190" s="10" t="s">
        <v>281</v>
      </c>
      <c r="T190" s="10"/>
      <c r="U190" s="10"/>
      <c r="V190" s="10"/>
      <c r="W190" s="10"/>
      <c r="X190" s="10"/>
      <c r="Y190" s="126" t="s">
        <v>170</v>
      </c>
      <c r="Z190" s="126"/>
      <c r="AA190" s="10" t="s">
        <v>282</v>
      </c>
      <c r="AB190" s="10"/>
      <c r="AC190" s="10"/>
      <c r="AD190" s="10"/>
      <c r="AE190" s="10"/>
      <c r="AF190" s="10"/>
    </row>
    <row r="191" s="12" customFormat="1" ht="18" hidden="1" customHeight="1">
      <c r="A191" s="8"/>
      <c r="B191" s="125" t="s">
        <v>283</v>
      </c>
      <c r="C191" s="125"/>
      <c r="D191" s="125"/>
      <c r="E191" s="125"/>
      <c r="F191" s="125"/>
      <c r="G191" s="125"/>
      <c r="H191" s="126" t="s">
        <v>170</v>
      </c>
      <c r="I191" s="126"/>
      <c r="J191" s="126"/>
      <c r="K191" s="127" t="s">
        <v>284</v>
      </c>
      <c r="L191" s="127"/>
      <c r="M191" s="127"/>
      <c r="N191" s="127"/>
      <c r="O191" s="127"/>
      <c r="P191" s="127"/>
      <c r="Q191" s="127"/>
      <c r="R191" s="127"/>
      <c r="S191" s="10" t="s">
        <v>285</v>
      </c>
      <c r="T191" s="10"/>
      <c r="U191" s="10"/>
      <c r="V191" s="10"/>
      <c r="W191" s="10"/>
      <c r="X191" s="10"/>
      <c r="Y191" s="126" t="s">
        <v>170</v>
      </c>
      <c r="Z191" s="126"/>
      <c r="AA191" s="10" t="s">
        <v>286</v>
      </c>
      <c r="AB191" s="10"/>
      <c r="AC191" s="10"/>
      <c r="AD191" s="10"/>
      <c r="AE191" s="10"/>
      <c r="AF191" s="10"/>
    </row>
    <row r="192" s="12" customFormat="1" ht="18" hidden="1" customHeight="1">
      <c r="A192" s="8"/>
      <c r="B192" s="127" t="s">
        <v>287</v>
      </c>
      <c r="C192" s="127"/>
      <c r="D192" s="127"/>
      <c r="E192" s="127"/>
      <c r="F192" s="127"/>
      <c r="G192" s="127"/>
      <c r="H192" s="126" t="s">
        <v>170</v>
      </c>
      <c r="I192" s="126"/>
      <c r="J192" s="126"/>
      <c r="K192" s="127" t="s">
        <v>288</v>
      </c>
      <c r="L192" s="127"/>
      <c r="M192" s="127"/>
      <c r="N192" s="127"/>
      <c r="O192" s="127"/>
      <c r="P192" s="127"/>
      <c r="Q192" s="8"/>
      <c r="R192" s="8"/>
      <c r="S192" s="10" t="s">
        <v>289</v>
      </c>
      <c r="T192" s="10"/>
      <c r="U192" s="10"/>
      <c r="V192" s="10"/>
      <c r="W192" s="10"/>
      <c r="X192" s="10"/>
      <c r="Y192" s="126" t="s">
        <v>170</v>
      </c>
      <c r="Z192" s="126"/>
      <c r="AA192" s="10" t="s">
        <v>290</v>
      </c>
      <c r="AB192" s="10"/>
      <c r="AC192" s="10"/>
      <c r="AD192" s="10"/>
      <c r="AE192" s="10"/>
      <c r="AF192" s="10"/>
    </row>
    <row r="193" s="12" customFormat="1" ht="18" hidden="1" customHeight="1">
      <c r="A193" s="8"/>
      <c r="B193" s="127" t="s">
        <v>291</v>
      </c>
      <c r="C193" s="127"/>
      <c r="D193" s="127"/>
      <c r="E193" s="127"/>
      <c r="F193" s="127"/>
      <c r="G193" s="127"/>
      <c r="H193" s="126" t="s">
        <v>170</v>
      </c>
      <c r="I193" s="126"/>
      <c r="J193" s="126"/>
      <c r="K193" s="127" t="s">
        <v>292</v>
      </c>
      <c r="L193" s="127"/>
      <c r="M193" s="127"/>
      <c r="N193" s="127"/>
      <c r="O193" s="127"/>
      <c r="P193" s="12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="12" customFormat="1" ht="18" customHeight="1">
      <c r="A194" s="8"/>
      <c r="B194" s="9"/>
      <c r="C194" s="10"/>
      <c r="D194" s="10"/>
      <c r="E194" s="10"/>
      <c r="F194" s="10"/>
      <c r="G194" s="10"/>
      <c r="H194" s="10"/>
      <c r="I194" s="10"/>
      <c r="J194" s="1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="12" customFormat="1" ht="18" customHeight="1">
      <c r="A195" s="8"/>
      <c r="B195" s="9" t="s">
        <v>293</v>
      </c>
      <c r="C195" s="11" t="s">
        <v>294</v>
      </c>
      <c r="D195" s="10"/>
      <c r="E195" s="10"/>
      <c r="F195" s="10"/>
      <c r="G195" s="10"/>
      <c r="H195" s="10"/>
      <c r="I195" s="10"/>
      <c r="J195" s="11" t="s">
        <v>10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="12" customFormat="1" ht="18" customHeight="1">
      <c r="A196" s="8"/>
      <c r="B196" s="9"/>
      <c r="C196" s="9" t="s">
        <v>8</v>
      </c>
      <c r="D196" s="27" t="s">
        <v>295</v>
      </c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 s="12" customFormat="1" ht="18" customHeight="1">
      <c r="A197" s="8"/>
      <c r="B197" s="9"/>
      <c r="C197" s="9" t="s">
        <v>11</v>
      </c>
      <c r="D197" s="27" t="s">
        <v>295</v>
      </c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="12" customFormat="1" ht="18" customHeight="1">
      <c r="A198" s="8"/>
      <c r="B198" s="9"/>
      <c r="C198" s="9" t="s">
        <v>15</v>
      </c>
      <c r="D198" s="27" t="s">
        <v>295</v>
      </c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="12" customFormat="1" ht="18" customHeight="1">
      <c r="A199" s="8"/>
      <c r="B199" s="9"/>
      <c r="C199" s="9" t="s">
        <v>19</v>
      </c>
      <c r="D199" s="27" t="s">
        <v>295</v>
      </c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="12" customFormat="1" ht="18" customHeight="1">
      <c r="A200" s="8"/>
      <c r="B200" s="9"/>
      <c r="C200" s="9" t="s">
        <v>24</v>
      </c>
      <c r="D200" s="27" t="s">
        <v>295</v>
      </c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="12" customFormat="1" ht="18" customHeight="1">
      <c r="A201" s="8"/>
      <c r="B201" s="9"/>
      <c r="C201" s="10"/>
      <c r="D201" s="10"/>
      <c r="E201" s="10"/>
      <c r="F201" s="10"/>
      <c r="G201" s="10"/>
      <c r="H201" s="10"/>
      <c r="I201" s="10"/>
      <c r="J201" s="1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="12" customFormat="1" ht="18" customHeight="1">
      <c r="A202" s="8"/>
      <c r="B202" s="9" t="s">
        <v>296</v>
      </c>
      <c r="C202" s="11" t="s">
        <v>297</v>
      </c>
      <c r="D202" s="10"/>
      <c r="E202" s="10"/>
      <c r="F202" s="10"/>
      <c r="G202" s="10"/>
      <c r="H202" s="10"/>
      <c r="I202" s="10"/>
      <c r="J202" s="11" t="s">
        <v>10</v>
      </c>
      <c r="K202" s="31" t="s">
        <v>298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="12" customFormat="1" ht="18" customHeight="1">
      <c r="A203" s="8"/>
      <c r="B203" s="9"/>
      <c r="C203" s="10"/>
      <c r="D203" s="10"/>
      <c r="E203" s="10"/>
      <c r="F203" s="10"/>
      <c r="G203" s="10"/>
      <c r="H203" s="10"/>
      <c r="I203" s="10"/>
      <c r="J203" s="1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="12" customFormat="1" ht="18" customHeight="1">
      <c r="A204" s="8"/>
      <c r="B204" s="9"/>
      <c r="C204" s="129" t="s">
        <v>299</v>
      </c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="12" customFormat="1" ht="18" customHeight="1">
      <c r="A205" s="8"/>
      <c r="B205" s="9"/>
      <c r="C205" s="10"/>
      <c r="D205" s="10"/>
      <c r="E205" s="10"/>
      <c r="F205" s="10"/>
      <c r="G205" s="10"/>
      <c r="H205" s="10"/>
      <c r="I205" s="10"/>
      <c r="J205" s="10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="12" customFormat="1" ht="18" customHeight="1">
      <c r="A206" s="8"/>
      <c r="B206" s="9"/>
      <c r="C206" s="19" t="s">
        <v>300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8"/>
      <c r="O206" s="8"/>
      <c r="P206" s="8"/>
      <c r="Q206" s="8"/>
      <c r="R206" s="8"/>
      <c r="S206" s="8"/>
      <c r="T206" s="8"/>
      <c r="U206" s="8"/>
      <c r="V206" s="10" t="s">
        <v>301</v>
      </c>
      <c r="W206" s="10"/>
      <c r="X206" s="10"/>
      <c r="Y206" s="10"/>
      <c r="Z206" s="10"/>
      <c r="AA206" s="10"/>
      <c r="AB206" s="10"/>
      <c r="AC206" s="10"/>
      <c r="AD206" s="10"/>
      <c r="AE206" s="10"/>
      <c r="AF206" s="8"/>
    </row>
    <row r="207" s="12" customFormat="1" ht="18" customHeight="1">
      <c r="A207" s="8"/>
      <c r="B207" s="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8"/>
      <c r="O207" s="8"/>
      <c r="P207" s="8"/>
      <c r="Q207" s="8"/>
      <c r="R207" s="8"/>
      <c r="S207" s="8"/>
      <c r="T207" s="8"/>
      <c r="U207" s="8"/>
      <c r="V207" s="10" t="s">
        <v>302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8"/>
    </row>
    <row r="208" s="12" customFormat="1" ht="18" customHeight="1">
      <c r="A208" s="8"/>
      <c r="B208" s="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8"/>
      <c r="O208" s="8"/>
      <c r="P208" s="8"/>
      <c r="Q208" s="8"/>
      <c r="R208" s="8"/>
      <c r="S208" s="8"/>
      <c r="T208" s="8"/>
      <c r="U208" s="8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8"/>
    </row>
    <row r="209" s="12" customFormat="1" ht="18" customHeight="1">
      <c r="A209" s="8"/>
      <c r="B209" s="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8"/>
      <c r="O209" s="8"/>
      <c r="P209" s="8"/>
      <c r="Q209" s="8"/>
      <c r="R209" s="8"/>
      <c r="S209" s="8"/>
      <c r="T209" s="8"/>
      <c r="U209" s="8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8"/>
    </row>
    <row r="210" s="12" customFormat="1" ht="18" customHeight="1">
      <c r="A210" s="8"/>
      <c r="B210" s="9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8"/>
      <c r="O210" s="8"/>
      <c r="P210" s="8"/>
      <c r="Q210" s="8"/>
      <c r="R210" s="8"/>
      <c r="S210" s="8"/>
      <c r="T210" s="8"/>
      <c r="U210" s="8"/>
      <c r="V210" s="131" t="s">
        <v>303</v>
      </c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8"/>
    </row>
    <row r="211" s="12" customFormat="1" ht="18" customHeight="1">
      <c r="A211" s="8"/>
      <c r="B211" s="9"/>
      <c r="C211" s="10" t="s">
        <v>304</v>
      </c>
      <c r="D211" s="10"/>
      <c r="E211" s="10"/>
      <c r="F211" s="10"/>
      <c r="G211" s="10"/>
      <c r="H211" s="10"/>
      <c r="I211" s="10"/>
      <c r="J211" s="10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8"/>
    </row>
    <row r="212" s="12" customFormat="1" ht="18" customHeight="1">
      <c r="B212" s="134"/>
      <c r="C212" s="135"/>
      <c r="D212" s="135"/>
      <c r="E212" s="135"/>
      <c r="F212" s="135"/>
      <c r="G212" s="135"/>
      <c r="H212" s="135"/>
      <c r="I212" s="135"/>
      <c r="J212" s="135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568">
    <mergeCell ref="V211:AE211"/>
    <mergeCell ref="C208:M208"/>
    <mergeCell ref="V208:AE208"/>
    <mergeCell ref="C209:M209"/>
    <mergeCell ref="V209:AE209"/>
    <mergeCell ref="C210:M210"/>
    <mergeCell ref="V210:AE210"/>
    <mergeCell ref="D199:AF199"/>
    <mergeCell ref="D200:AF200"/>
    <mergeCell ref="C204:N204"/>
    <mergeCell ref="C206:M206"/>
    <mergeCell ref="V206:AE206"/>
    <mergeCell ref="C207:M207"/>
    <mergeCell ref="V207:AE207"/>
    <mergeCell ref="B193:G193"/>
    <mergeCell ref="H193:J193"/>
    <mergeCell ref="K193:P193"/>
    <mergeCell ref="D196:AF196"/>
    <mergeCell ref="D197:AF197"/>
    <mergeCell ref="D198:AF198"/>
    <mergeCell ref="AA191:AF191"/>
    <mergeCell ref="B192:G192"/>
    <mergeCell ref="H192:J192"/>
    <mergeCell ref="K192:P192"/>
    <mergeCell ref="S192:X192"/>
    <mergeCell ref="Y192:Z192"/>
    <mergeCell ref="AA192:AF192"/>
    <mergeCell ref="B191:G191"/>
    <mergeCell ref="H191:J191"/>
    <mergeCell ref="K191:P191"/>
    <mergeCell ref="Q191:R191"/>
    <mergeCell ref="S191:X191"/>
    <mergeCell ref="Y191:Z191"/>
    <mergeCell ref="AA189:AF189"/>
    <mergeCell ref="B190:G190"/>
    <mergeCell ref="H190:J190"/>
    <mergeCell ref="K190:P190"/>
    <mergeCell ref="Q190:R190"/>
    <mergeCell ref="S190:X190"/>
    <mergeCell ref="Y190:Z190"/>
    <mergeCell ref="AA190:AF190"/>
    <mergeCell ref="B189:G189"/>
    <mergeCell ref="H189:J189"/>
    <mergeCell ref="K189:P189"/>
    <mergeCell ref="Q189:R189"/>
    <mergeCell ref="S189:X189"/>
    <mergeCell ref="Y189:Z189"/>
    <mergeCell ref="AA187:AF187"/>
    <mergeCell ref="B188:G188"/>
    <mergeCell ref="H188:J188"/>
    <mergeCell ref="K188:P188"/>
    <mergeCell ref="Q188:R188"/>
    <mergeCell ref="S188:X188"/>
    <mergeCell ref="Y188:Z188"/>
    <mergeCell ref="AA188:AF188"/>
    <mergeCell ref="B187:G187"/>
    <mergeCell ref="H187:J187"/>
    <mergeCell ref="K187:P187"/>
    <mergeCell ref="Q187:R187"/>
    <mergeCell ref="S187:X187"/>
    <mergeCell ref="Y187:Z187"/>
    <mergeCell ref="AA185:AF185"/>
    <mergeCell ref="B186:G186"/>
    <mergeCell ref="H186:J186"/>
    <mergeCell ref="K186:P186"/>
    <mergeCell ref="Q186:R186"/>
    <mergeCell ref="S186:X186"/>
    <mergeCell ref="Y186:Z186"/>
    <mergeCell ref="AA186:AF186"/>
    <mergeCell ref="B185:G185"/>
    <mergeCell ref="H185:J185"/>
    <mergeCell ref="K185:P185"/>
    <mergeCell ref="Q185:R185"/>
    <mergeCell ref="S185:X185"/>
    <mergeCell ref="Y185:Z185"/>
    <mergeCell ref="AA183:AF183"/>
    <mergeCell ref="B184:G184"/>
    <mergeCell ref="H184:J184"/>
    <mergeCell ref="K184:P184"/>
    <mergeCell ref="Q184:R184"/>
    <mergeCell ref="S184:X184"/>
    <mergeCell ref="Y184:Z184"/>
    <mergeCell ref="AA184:AF184"/>
    <mergeCell ref="B183:G183"/>
    <mergeCell ref="H183:J183"/>
    <mergeCell ref="K183:P183"/>
    <mergeCell ref="Q183:R183"/>
    <mergeCell ref="S183:X183"/>
    <mergeCell ref="Y183:Z183"/>
    <mergeCell ref="AA181:AF181"/>
    <mergeCell ref="B182:G182"/>
    <mergeCell ref="H182:J182"/>
    <mergeCell ref="K182:P182"/>
    <mergeCell ref="Q182:R182"/>
    <mergeCell ref="S182:X182"/>
    <mergeCell ref="Y182:Z182"/>
    <mergeCell ref="AA182:AF182"/>
    <mergeCell ref="B181:G181"/>
    <mergeCell ref="H181:J181"/>
    <mergeCell ref="K181:P181"/>
    <mergeCell ref="Q181:R181"/>
    <mergeCell ref="S181:X181"/>
    <mergeCell ref="Y181:Z181"/>
    <mergeCell ref="AA179:AF179"/>
    <mergeCell ref="B180:G180"/>
    <mergeCell ref="H180:J180"/>
    <mergeCell ref="K180:P180"/>
    <mergeCell ref="Q180:R180"/>
    <mergeCell ref="S180:X180"/>
    <mergeCell ref="Y180:Z180"/>
    <mergeCell ref="AA180:AF180"/>
    <mergeCell ref="B179:G179"/>
    <mergeCell ref="H179:J179"/>
    <mergeCell ref="K179:P179"/>
    <mergeCell ref="Q179:R179"/>
    <mergeCell ref="S179:X179"/>
    <mergeCell ref="Y179:Z179"/>
    <mergeCell ref="AA177:AF177"/>
    <mergeCell ref="B178:G178"/>
    <mergeCell ref="H178:J178"/>
    <mergeCell ref="K178:P178"/>
    <mergeCell ref="Q178:R178"/>
    <mergeCell ref="S178:X178"/>
    <mergeCell ref="Y178:Z178"/>
    <mergeCell ref="AA178:AF178"/>
    <mergeCell ref="B177:G177"/>
    <mergeCell ref="H177:J177"/>
    <mergeCell ref="K177:P177"/>
    <mergeCell ref="Q177:R177"/>
    <mergeCell ref="S177:X177"/>
    <mergeCell ref="Y177:Z177"/>
    <mergeCell ref="AA175:AF175"/>
    <mergeCell ref="B176:G176"/>
    <mergeCell ref="H176:J176"/>
    <mergeCell ref="K176:P176"/>
    <mergeCell ref="Q176:R176"/>
    <mergeCell ref="S176:X176"/>
    <mergeCell ref="Y176:Z176"/>
    <mergeCell ref="AA176:AF176"/>
    <mergeCell ref="B175:G175"/>
    <mergeCell ref="H175:J175"/>
    <mergeCell ref="K175:P175"/>
    <mergeCell ref="Q175:R175"/>
    <mergeCell ref="S175:X175"/>
    <mergeCell ref="Y175:Z175"/>
    <mergeCell ref="AA173:AF173"/>
    <mergeCell ref="B174:G174"/>
    <mergeCell ref="H174:J174"/>
    <mergeCell ref="K174:P174"/>
    <mergeCell ref="Q174:R174"/>
    <mergeCell ref="S174:X174"/>
    <mergeCell ref="Y174:Z174"/>
    <mergeCell ref="AA174:AF174"/>
    <mergeCell ref="B173:G173"/>
    <mergeCell ref="H173:J173"/>
    <mergeCell ref="K173:P173"/>
    <mergeCell ref="Q173:R173"/>
    <mergeCell ref="S173:X173"/>
    <mergeCell ref="Y173:Z173"/>
    <mergeCell ref="B172:G172"/>
    <mergeCell ref="H172:J172"/>
    <mergeCell ref="K172:P172"/>
    <mergeCell ref="Q172:R172"/>
    <mergeCell ref="S172:X172"/>
    <mergeCell ref="AA172:AF172"/>
    <mergeCell ref="B171:G171"/>
    <mergeCell ref="H171:J171"/>
    <mergeCell ref="K171:P171"/>
    <mergeCell ref="Q171:R171"/>
    <mergeCell ref="S171:X171"/>
    <mergeCell ref="AA171:AF171"/>
    <mergeCell ref="B170:G170"/>
    <mergeCell ref="H170:J170"/>
    <mergeCell ref="K170:P170"/>
    <mergeCell ref="Q170:R170"/>
    <mergeCell ref="S170:X170"/>
    <mergeCell ref="AA170:AF170"/>
    <mergeCell ref="AA168:AF168"/>
    <mergeCell ref="B169:G169"/>
    <mergeCell ref="H169:J169"/>
    <mergeCell ref="K169:P169"/>
    <mergeCell ref="Q169:R169"/>
    <mergeCell ref="S169:X169"/>
    <mergeCell ref="AA169:AF169"/>
    <mergeCell ref="B168:G168"/>
    <mergeCell ref="H168:J168"/>
    <mergeCell ref="K168:P168"/>
    <mergeCell ref="Q168:R168"/>
    <mergeCell ref="S168:X168"/>
    <mergeCell ref="Y168:Z168"/>
    <mergeCell ref="AA166:AF166"/>
    <mergeCell ref="B167:P167"/>
    <mergeCell ref="Q167:R167"/>
    <mergeCell ref="S167:X167"/>
    <mergeCell ref="Y167:Z167"/>
    <mergeCell ref="AA167:AF167"/>
    <mergeCell ref="B166:G166"/>
    <mergeCell ref="H166:J166"/>
    <mergeCell ref="K166:P166"/>
    <mergeCell ref="Q166:R166"/>
    <mergeCell ref="S166:X166"/>
    <mergeCell ref="Y166:Z166"/>
    <mergeCell ref="B163:G163"/>
    <mergeCell ref="H163:J163"/>
    <mergeCell ref="K163:P163"/>
    <mergeCell ref="Q163:R163"/>
    <mergeCell ref="S163:X163"/>
    <mergeCell ref="Y163:Z163"/>
    <mergeCell ref="AA163:AF163"/>
    <mergeCell ref="AA164:AF164"/>
    <mergeCell ref="B165:G165"/>
    <mergeCell ref="H165:J165"/>
    <mergeCell ref="K165:P165"/>
    <mergeCell ref="Q165:R165"/>
    <mergeCell ref="S165:X165"/>
    <mergeCell ref="Y165:Z165"/>
    <mergeCell ref="AA165:AF165"/>
    <mergeCell ref="B164:G164"/>
    <mergeCell ref="H164:J164"/>
    <mergeCell ref="K164:P164"/>
    <mergeCell ref="Q164:R164"/>
    <mergeCell ref="S164:X164"/>
    <mergeCell ref="Y164:Z164"/>
    <mergeCell ref="L150:AE150"/>
    <mergeCell ref="N156:AF156"/>
    <mergeCell ref="N157:AF157"/>
    <mergeCell ref="N158:AF158"/>
    <mergeCell ref="N159:AF159"/>
    <mergeCell ref="B162:G162"/>
    <mergeCell ref="H162:J162"/>
    <mergeCell ref="K162:P162"/>
    <mergeCell ref="Q162:R162"/>
    <mergeCell ref="S162:X162"/>
    <mergeCell ref="Y162:Z162"/>
    <mergeCell ref="AA162:AF162"/>
    <mergeCell ref="L129:AE129"/>
    <mergeCell ref="L130:AE130"/>
    <mergeCell ref="N134:Q134"/>
    <mergeCell ref="W134:AA134"/>
    <mergeCell ref="R144:T144"/>
    <mergeCell ref="Q148:R148"/>
    <mergeCell ref="U148:V148"/>
    <mergeCell ref="Y148:Z148"/>
    <mergeCell ref="C125:O125"/>
    <mergeCell ref="P125:T125"/>
    <mergeCell ref="U125:Z125"/>
    <mergeCell ref="AA125:AF125"/>
    <mergeCell ref="C126:O126"/>
    <mergeCell ref="P126:T126"/>
    <mergeCell ref="U126:Z126"/>
    <mergeCell ref="AA126:AF126"/>
    <mergeCell ref="C123:O123"/>
    <mergeCell ref="P123:T123"/>
    <mergeCell ref="U123:Z123"/>
    <mergeCell ref="AA123:AF123"/>
    <mergeCell ref="C124:O124"/>
    <mergeCell ref="P124:T124"/>
    <mergeCell ref="U124:Z124"/>
    <mergeCell ref="AA124:AF124"/>
    <mergeCell ref="C121:O121"/>
    <mergeCell ref="P121:T121"/>
    <mergeCell ref="U121:Z121"/>
    <mergeCell ref="AA121:AF121"/>
    <mergeCell ref="C122:O122"/>
    <mergeCell ref="P122:T122"/>
    <mergeCell ref="U122:Z122"/>
    <mergeCell ref="AA122:AF122"/>
    <mergeCell ref="C116:N116"/>
    <mergeCell ref="O116:U116"/>
    <mergeCell ref="V116:AF116"/>
    <mergeCell ref="C117:N117"/>
    <mergeCell ref="O117:U117"/>
    <mergeCell ref="V117:AF117"/>
    <mergeCell ref="C114:N114"/>
    <mergeCell ref="O114:U114"/>
    <mergeCell ref="V114:AF114"/>
    <mergeCell ref="C115:N115"/>
    <mergeCell ref="O115:U115"/>
    <mergeCell ref="V115:AF115"/>
    <mergeCell ref="C112:N112"/>
    <mergeCell ref="O112:U112"/>
    <mergeCell ref="V112:AF112"/>
    <mergeCell ref="C113:N113"/>
    <mergeCell ref="O113:U113"/>
    <mergeCell ref="V113:AF113"/>
    <mergeCell ref="C108:K108"/>
    <mergeCell ref="L108:U108"/>
    <mergeCell ref="V108:Y108"/>
    <mergeCell ref="Z108:AF108"/>
    <mergeCell ref="C109:K109"/>
    <mergeCell ref="L109:U109"/>
    <mergeCell ref="V109:Y109"/>
    <mergeCell ref="Z109:AF109"/>
    <mergeCell ref="C106:K106"/>
    <mergeCell ref="L106:U106"/>
    <mergeCell ref="V106:Y106"/>
    <mergeCell ref="Z106:AF106"/>
    <mergeCell ref="C107:K107"/>
    <mergeCell ref="L107:U107"/>
    <mergeCell ref="V107:Y107"/>
    <mergeCell ref="Z107:AF107"/>
    <mergeCell ref="C104:K104"/>
    <mergeCell ref="L104:U104"/>
    <mergeCell ref="V104:Y104"/>
    <mergeCell ref="Z104:AF104"/>
    <mergeCell ref="C105:K105"/>
    <mergeCell ref="L105:U105"/>
    <mergeCell ref="V105:Y105"/>
    <mergeCell ref="Z105:AF105"/>
    <mergeCell ref="C101:G101"/>
    <mergeCell ref="H101:N101"/>
    <mergeCell ref="O101:Q101"/>
    <mergeCell ref="R101:T101"/>
    <mergeCell ref="U101:W101"/>
    <mergeCell ref="X101:AF101"/>
    <mergeCell ref="C100:G100"/>
    <mergeCell ref="H100:N100"/>
    <mergeCell ref="O100:Q100"/>
    <mergeCell ref="R100:T100"/>
    <mergeCell ref="U100:W100"/>
    <mergeCell ref="X100:AF100"/>
    <mergeCell ref="C99:G99"/>
    <mergeCell ref="H99:N99"/>
    <mergeCell ref="O99:Q99"/>
    <mergeCell ref="R99:T99"/>
    <mergeCell ref="U99:W99"/>
    <mergeCell ref="X99:AF99"/>
    <mergeCell ref="C98:G98"/>
    <mergeCell ref="H98:N98"/>
    <mergeCell ref="O98:Q98"/>
    <mergeCell ref="R98:T98"/>
    <mergeCell ref="U98:W98"/>
    <mergeCell ref="X98:AF98"/>
    <mergeCell ref="C97:G97"/>
    <mergeCell ref="H97:N97"/>
    <mergeCell ref="O97:Q97"/>
    <mergeCell ref="R97:T97"/>
    <mergeCell ref="U97:W97"/>
    <mergeCell ref="X97:AF97"/>
    <mergeCell ref="C96:G96"/>
    <mergeCell ref="H96:N96"/>
    <mergeCell ref="O96:Q96"/>
    <mergeCell ref="R96:T96"/>
    <mergeCell ref="U96:W96"/>
    <mergeCell ref="X96:AF96"/>
    <mergeCell ref="C95:G95"/>
    <mergeCell ref="H95:N95"/>
    <mergeCell ref="O95:Q95"/>
    <mergeCell ref="R95:T95"/>
    <mergeCell ref="U95:W95"/>
    <mergeCell ref="X95:AF95"/>
    <mergeCell ref="C94:G94"/>
    <mergeCell ref="H94:N94"/>
    <mergeCell ref="O94:Q94"/>
    <mergeCell ref="R94:T94"/>
    <mergeCell ref="U94:W94"/>
    <mergeCell ref="X94:AF94"/>
    <mergeCell ref="C93:G93"/>
    <mergeCell ref="H93:N93"/>
    <mergeCell ref="O93:Q93"/>
    <mergeCell ref="R93:T93"/>
    <mergeCell ref="U93:W93"/>
    <mergeCell ref="X93:AF93"/>
    <mergeCell ref="B91:B92"/>
    <mergeCell ref="C91:G92"/>
    <mergeCell ref="H91:N92"/>
    <mergeCell ref="O91:W91"/>
    <mergeCell ref="X91:AF92"/>
    <mergeCell ref="O92:Q92"/>
    <mergeCell ref="R92:T92"/>
    <mergeCell ref="U92:W92"/>
    <mergeCell ref="B87:D87"/>
    <mergeCell ref="E87:M87"/>
    <mergeCell ref="N87:X87"/>
    <mergeCell ref="Y87:AF87"/>
    <mergeCell ref="B88:D88"/>
    <mergeCell ref="E88:M88"/>
    <mergeCell ref="N88:X88"/>
    <mergeCell ref="Y88:AF88"/>
    <mergeCell ref="B85:D85"/>
    <mergeCell ref="E85:M85"/>
    <mergeCell ref="N85:X85"/>
    <mergeCell ref="Y85:AF85"/>
    <mergeCell ref="B86:D86"/>
    <mergeCell ref="E86:M86"/>
    <mergeCell ref="N86:X86"/>
    <mergeCell ref="Y86:AF86"/>
    <mergeCell ref="B83:D83"/>
    <mergeCell ref="E83:M83"/>
    <mergeCell ref="N83:X83"/>
    <mergeCell ref="Y83:AF83"/>
    <mergeCell ref="B84:D84"/>
    <mergeCell ref="E84:M84"/>
    <mergeCell ref="N84:X84"/>
    <mergeCell ref="Y84:AF84"/>
    <mergeCell ref="B81:D81"/>
    <mergeCell ref="E81:M81"/>
    <mergeCell ref="N81:X81"/>
    <mergeCell ref="Y81:AF81"/>
    <mergeCell ref="B82:D82"/>
    <mergeCell ref="E82:M82"/>
    <mergeCell ref="N82:X82"/>
    <mergeCell ref="Y82:AF82"/>
    <mergeCell ref="AA76:AC76"/>
    <mergeCell ref="AD76:AF76"/>
    <mergeCell ref="B79:M79"/>
    <mergeCell ref="N79:X79"/>
    <mergeCell ref="Y79:AF79"/>
    <mergeCell ref="B80:D80"/>
    <mergeCell ref="E80:M80"/>
    <mergeCell ref="N80:X80"/>
    <mergeCell ref="Y80:AF80"/>
    <mergeCell ref="C76:G76"/>
    <mergeCell ref="H76:K76"/>
    <mergeCell ref="L76:O76"/>
    <mergeCell ref="P76:T76"/>
    <mergeCell ref="U76:W76"/>
    <mergeCell ref="X76:Z76"/>
    <mergeCell ref="AA74:AC74"/>
    <mergeCell ref="AD74:AF74"/>
    <mergeCell ref="C75:G75"/>
    <mergeCell ref="H75:K75"/>
    <mergeCell ref="L75:O75"/>
    <mergeCell ref="P75:T75"/>
    <mergeCell ref="U75:W75"/>
    <mergeCell ref="X75:Z75"/>
    <mergeCell ref="AA75:AC75"/>
    <mergeCell ref="AD75:AF75"/>
    <mergeCell ref="C74:G74"/>
    <mergeCell ref="H74:K74"/>
    <mergeCell ref="L74:O74"/>
    <mergeCell ref="P74:T74"/>
    <mergeCell ref="U74:W74"/>
    <mergeCell ref="X74:Z74"/>
    <mergeCell ref="AA72:AC72"/>
    <mergeCell ref="AD72:AF72"/>
    <mergeCell ref="C73:G73"/>
    <mergeCell ref="H73:K73"/>
    <mergeCell ref="L73:O73"/>
    <mergeCell ref="P73:T73"/>
    <mergeCell ref="U73:W73"/>
    <mergeCell ref="X73:Z73"/>
    <mergeCell ref="AA73:AC73"/>
    <mergeCell ref="AD73:AF73"/>
    <mergeCell ref="C72:G72"/>
    <mergeCell ref="H72:K72"/>
    <mergeCell ref="L72:O72"/>
    <mergeCell ref="P72:T72"/>
    <mergeCell ref="U72:W72"/>
    <mergeCell ref="X72:Z72"/>
    <mergeCell ref="AA70:AC70"/>
    <mergeCell ref="AD70:AF70"/>
    <mergeCell ref="C71:G71"/>
    <mergeCell ref="H71:K71"/>
    <mergeCell ref="L71:O71"/>
    <mergeCell ref="P71:T71"/>
    <mergeCell ref="U71:W71"/>
    <mergeCell ref="X71:Z71"/>
    <mergeCell ref="AA71:AC71"/>
    <mergeCell ref="AD71:AF71"/>
    <mergeCell ref="C70:G70"/>
    <mergeCell ref="H70:K70"/>
    <mergeCell ref="L70:O70"/>
    <mergeCell ref="P70:T70"/>
    <mergeCell ref="U70:W70"/>
    <mergeCell ref="X70:Z70"/>
    <mergeCell ref="C69:G69"/>
    <mergeCell ref="H69:K69"/>
    <mergeCell ref="L69:O69"/>
    <mergeCell ref="P69:T69"/>
    <mergeCell ref="U69:W69"/>
    <mergeCell ref="X69:Z69"/>
    <mergeCell ref="AA69:AC69"/>
    <mergeCell ref="AD69:AF69"/>
    <mergeCell ref="C68:G68"/>
    <mergeCell ref="H68:K68"/>
    <mergeCell ref="L68:O68"/>
    <mergeCell ref="P68:T68"/>
    <mergeCell ref="U68:W68"/>
    <mergeCell ref="X68:Z68"/>
    <mergeCell ref="C67:G67"/>
    <mergeCell ref="H67:K67"/>
    <mergeCell ref="L67:O67"/>
    <mergeCell ref="P67:T67"/>
    <mergeCell ref="U67:W67"/>
    <mergeCell ref="X67:Z67"/>
    <mergeCell ref="AA67:AC67"/>
    <mergeCell ref="AD67:AF67"/>
    <mergeCell ref="AA68:AC68"/>
    <mergeCell ref="AD68:AF68"/>
    <mergeCell ref="B65:B66"/>
    <mergeCell ref="C65:O65"/>
    <mergeCell ref="P65:T66"/>
    <mergeCell ref="U65:Z65"/>
    <mergeCell ref="AA65:AF65"/>
    <mergeCell ref="C66:G66"/>
    <mergeCell ref="H66:K66"/>
    <mergeCell ref="L66:O66"/>
    <mergeCell ref="U66:W66"/>
    <mergeCell ref="X66:Z66"/>
    <mergeCell ref="AA66:AC66"/>
    <mergeCell ref="AD66:AF66"/>
    <mergeCell ref="C61:G61"/>
    <mergeCell ref="H61:Q61"/>
    <mergeCell ref="R61:X61"/>
    <mergeCell ref="Y61:AF61"/>
    <mergeCell ref="C62:G62"/>
    <mergeCell ref="H62:Q62"/>
    <mergeCell ref="R62:X62"/>
    <mergeCell ref="Y62:AF62"/>
    <mergeCell ref="C59:G59"/>
    <mergeCell ref="H59:Q59"/>
    <mergeCell ref="R59:X59"/>
    <mergeCell ref="Y59:AF59"/>
    <mergeCell ref="C60:G60"/>
    <mergeCell ref="H60:Q60"/>
    <mergeCell ref="R60:X60"/>
    <mergeCell ref="Y60:AF60"/>
    <mergeCell ref="C57:G57"/>
    <mergeCell ref="H57:Q57"/>
    <mergeCell ref="R57:X57"/>
    <mergeCell ref="Y57:AF57"/>
    <mergeCell ref="C58:G58"/>
    <mergeCell ref="H58:Q58"/>
    <mergeCell ref="R58:X58"/>
    <mergeCell ref="Y58:AF58"/>
    <mergeCell ref="C55:G55"/>
    <mergeCell ref="H55:Q55"/>
    <mergeCell ref="R55:X55"/>
    <mergeCell ref="Y55:AF55"/>
    <mergeCell ref="C56:G56"/>
    <mergeCell ref="H56:Q56"/>
    <mergeCell ref="R56:X56"/>
    <mergeCell ref="Y56:AF56"/>
    <mergeCell ref="C42:H42"/>
    <mergeCell ref="K42:L42"/>
    <mergeCell ref="N42:R42"/>
    <mergeCell ref="S42:AE42"/>
    <mergeCell ref="C44:H44"/>
    <mergeCell ref="C50:H50"/>
    <mergeCell ref="Q50:S50"/>
    <mergeCell ref="W50:X50"/>
    <mergeCell ref="N38:P38"/>
    <mergeCell ref="R38:T38"/>
    <mergeCell ref="U38:W38"/>
    <mergeCell ref="X38:AF38"/>
    <mergeCell ref="K40:S40"/>
    <mergeCell ref="T40:AF40"/>
    <mergeCell ref="C28:H28"/>
    <mergeCell ref="C30:H30"/>
    <mergeCell ref="C32:H32"/>
    <mergeCell ref="L32:P32"/>
    <mergeCell ref="X32:Z32"/>
    <mergeCell ref="Y17:Z17"/>
    <mergeCell ref="AC17:AD17"/>
    <mergeCell ref="K19:AC19"/>
    <mergeCell ref="C21:G21"/>
    <mergeCell ref="C23:H23"/>
    <mergeCell ref="K23:X23"/>
    <mergeCell ref="B1:AF1"/>
    <mergeCell ref="A2:AF2"/>
    <mergeCell ref="A3:AF3"/>
    <mergeCell ref="F9:H9"/>
    <mergeCell ref="U11:V11"/>
    <mergeCell ref="Y11:Z11"/>
    <mergeCell ref="AC11:AD11"/>
    <mergeCell ref="C25:H25"/>
    <mergeCell ref="K26:AE26"/>
  </mergeCells>
  <printOptions headings="0" gridLines="0" horizontalCentered="1"/>
  <pageMargins left="0.31496062992125984" right="0.19685039370078738" top="0.39370078740157477" bottom="0.78740157480314954" header="0" footer="0"/>
  <pageSetup paperSize="9" scale="80" fitToWidth="1" fitToHeight="1" pageOrder="downThenOver" orientation="portrait" usePrinterDefaults="1" blackAndWhite="0" draft="0" cellComments="none" useFirstPageNumber="0" errors="displayed" horizontalDpi="4294967292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3">
    <outlinePr applyStyles="0" summaryBelow="1" summaryRight="1" showOutlineSymbols="1"/>
    <pageSetUpPr autoPageBreaks="1" fitToPage="0"/>
  </sheetPr>
  <sheetViews>
    <sheetView zoomScale="77" workbookViewId="0">
      <pane xSplit="7" ySplit="7" topLeftCell="H8" activePane="bottomRight" state="frozen"/>
      <selection activeCell="A1" activeCellId="0" sqref="A1"/>
    </sheetView>
  </sheetViews>
  <sheetFormatPr defaultColWidth="0" defaultRowHeight="18.75" customHeight="1" zeroHeight="1"/>
  <cols>
    <col bestFit="1" customWidth="1" min="1" max="1" style="137" width="4.453125"/>
    <col customWidth="1" min="2" max="2" style="137" width="8.453125"/>
    <col customWidth="1" hidden="1" min="3" max="3" style="137" width="6.1796875"/>
    <col bestFit="1" customWidth="1" min="4" max="4" style="137" width="12.1796875"/>
    <col bestFit="1" customWidth="1" min="5" max="5" style="137" width="22.453125"/>
    <col customWidth="1" hidden="1" min="6" max="6" style="137" width="9.1796875"/>
    <col customWidth="1" min="7" max="7" style="137" width="36.7265625"/>
    <col bestFit="1" customWidth="1" min="8" max="8" style="138" width="30.7265625"/>
    <col bestFit="1" customWidth="1" min="9" max="9" style="137" width="16.1796875"/>
    <col customWidth="1" min="10" max="11" style="137" width="5.7265625"/>
    <col customWidth="1" min="12" max="12" style="137" width="7.81640625"/>
    <col customWidth="1" hidden="1" min="13" max="13" style="137" width="10.1796875"/>
    <col customWidth="1" min="14" max="14" style="137" width="6.7265625"/>
    <col bestFit="1" customWidth="1" min="15" max="15" style="137" width="5.26953125"/>
    <col bestFit="1" customWidth="1" min="16" max="16" style="137" width="5.81640625"/>
    <col customWidth="1" min="17" max="18" style="137" width="5.7265625"/>
    <col customWidth="1" min="19" max="19" style="137" width="7.7265625"/>
    <col customWidth="1" hidden="1" min="20" max="21" style="137" width="5.7265625"/>
    <col customWidth="1" min="22" max="23" style="137" width="5.7265625"/>
    <col customWidth="1" min="24" max="24" style="137" width="9.1796875"/>
    <col customWidth="1" min="25" max="25" style="139" width="31.1796875"/>
    <col customWidth="1" min="26" max="26" style="140" width="11.81640625"/>
    <col customWidth="1" min="27" max="27" style="137" width="9.1796875"/>
    <col customWidth="1" min="28" max="28" style="137" width="18.54296875"/>
    <col customWidth="1" min="29" max="29" style="137" width="25.7265625"/>
    <col customWidth="1" min="30" max="30" style="137" width="12.453125"/>
    <col customWidth="1" min="31" max="31" style="137" width="27.1796875"/>
    <col customWidth="1" min="32" max="32" style="141" width="9.1796875"/>
    <col customWidth="1" min="33" max="33" style="141" width="15.81640625"/>
    <col customWidth="1" min="34" max="34" style="141" width="13.453125"/>
    <col customWidth="1" min="35" max="35" style="141" width="9.26953125"/>
    <col customWidth="1" min="36" max="36" style="141" width="9.1796875"/>
    <col customWidth="1" min="37" max="37" style="141" width="11.54296875"/>
    <col bestFit="1" customWidth="1" min="38" max="38" style="141" width="13.453125"/>
    <col bestFit="1" customWidth="1" min="39" max="39" style="141" width="17.54296875"/>
    <col customWidth="1" min="40" max="40" style="141" width="17.54296875"/>
    <col customWidth="1" min="41" max="41" style="137" width="3.54296875"/>
    <col customWidth="1" min="42" max="62" style="136" width="9.1796875"/>
    <col customWidth="1" min="63" max="63" style="136" width="19"/>
    <col hidden="1" min="64" max="16384" style="136" width="9.1796875"/>
  </cols>
  <sheetData>
    <row r="1" ht="18">
      <c r="F1" s="142"/>
      <c r="G1" s="141"/>
    </row>
    <row r="2" ht="18">
      <c r="B2" s="143" t="s">
        <v>305</v>
      </c>
      <c r="C2" s="143"/>
      <c r="D2" s="143"/>
      <c r="E2" s="143"/>
      <c r="F2" s="142"/>
    </row>
    <row r="3" ht="18">
      <c r="B3" s="144" t="s">
        <v>306</v>
      </c>
      <c r="C3" s="145"/>
      <c r="D3" s="145" t="s">
        <v>48</v>
      </c>
      <c r="E3" s="145" t="s">
        <v>49</v>
      </c>
      <c r="F3" s="142"/>
    </row>
    <row r="4" ht="18">
      <c r="A4" s="146"/>
      <c r="B4" s="147" t="s">
        <v>307</v>
      </c>
      <c r="C4" s="148"/>
      <c r="D4" s="149" t="s">
        <v>308</v>
      </c>
      <c r="E4" s="147">
        <v>2025</v>
      </c>
      <c r="F4" s="142"/>
      <c r="G4" s="150"/>
    </row>
    <row r="5" s="151" customFormat="1" ht="14.5">
      <c r="A5" s="152" t="s">
        <v>309</v>
      </c>
      <c r="B5" s="152" t="s">
        <v>310</v>
      </c>
      <c r="C5" s="152" t="s">
        <v>311</v>
      </c>
      <c r="D5" s="152" t="s">
        <v>312</v>
      </c>
      <c r="E5" s="152" t="s">
        <v>313</v>
      </c>
      <c r="F5" s="152" t="s">
        <v>311</v>
      </c>
      <c r="G5" s="152" t="s">
        <v>314</v>
      </c>
      <c r="H5" s="153" t="s">
        <v>18</v>
      </c>
      <c r="I5" s="154" t="s">
        <v>315</v>
      </c>
      <c r="J5" s="155"/>
      <c r="K5" s="155"/>
      <c r="L5" s="156"/>
      <c r="M5" s="157"/>
      <c r="N5" s="158"/>
      <c r="O5" s="159"/>
      <c r="P5" s="159"/>
      <c r="Q5" s="159"/>
      <c r="R5" s="159"/>
      <c r="S5" s="160"/>
      <c r="T5" s="161"/>
      <c r="U5" s="161"/>
      <c r="V5" s="158" t="s">
        <v>316</v>
      </c>
      <c r="W5" s="161"/>
      <c r="X5" s="162" t="s">
        <v>317</v>
      </c>
      <c r="Y5" s="155"/>
      <c r="Z5" s="156"/>
      <c r="AA5" s="162" t="s">
        <v>318</v>
      </c>
      <c r="AB5" s="155"/>
      <c r="AC5" s="155"/>
      <c r="AD5" s="156"/>
      <c r="AE5" s="162" t="s">
        <v>319</v>
      </c>
      <c r="AF5" s="155"/>
      <c r="AG5" s="155"/>
      <c r="AH5" s="155"/>
      <c r="AI5" s="156"/>
      <c r="AJ5" s="162" t="s">
        <v>320</v>
      </c>
      <c r="AK5" s="163"/>
      <c r="AL5" s="164"/>
      <c r="AM5" s="165" t="s">
        <v>60</v>
      </c>
      <c r="AN5" s="166"/>
      <c r="AO5" s="167"/>
    </row>
    <row r="6" s="151" customFormat="1" ht="14.5">
      <c r="A6" s="168"/>
      <c r="B6" s="168"/>
      <c r="C6" s="168"/>
      <c r="D6" s="168"/>
      <c r="E6" s="168"/>
      <c r="F6" s="168"/>
      <c r="G6" s="168"/>
      <c r="H6" s="169"/>
      <c r="I6" s="170"/>
      <c r="J6" s="171"/>
      <c r="K6" s="171"/>
      <c r="L6" s="172"/>
      <c r="M6" s="157"/>
      <c r="N6" s="173" t="s">
        <v>321</v>
      </c>
      <c r="O6" s="159"/>
      <c r="P6" s="160"/>
      <c r="Q6" s="173" t="s">
        <v>322</v>
      </c>
      <c r="R6" s="159"/>
      <c r="S6" s="160"/>
      <c r="T6" s="174"/>
      <c r="U6" s="174"/>
      <c r="V6" s="175" t="s">
        <v>323</v>
      </c>
      <c r="W6" s="175" t="s">
        <v>324</v>
      </c>
      <c r="X6" s="170"/>
      <c r="Y6" s="171"/>
      <c r="Z6" s="172"/>
      <c r="AA6" s="170"/>
      <c r="AB6" s="171"/>
      <c r="AC6" s="171"/>
      <c r="AD6" s="172"/>
      <c r="AE6" s="170"/>
      <c r="AF6" s="171"/>
      <c r="AG6" s="171"/>
      <c r="AH6" s="171"/>
      <c r="AI6" s="172"/>
      <c r="AJ6" s="176"/>
      <c r="AK6" s="177"/>
      <c r="AL6" s="178"/>
      <c r="AM6" s="179"/>
      <c r="AN6" s="166"/>
      <c r="BF6" s="180" t="s">
        <v>325</v>
      </c>
      <c r="BG6" s="151" t="s">
        <v>326</v>
      </c>
      <c r="BK6" s="181" t="s">
        <v>327</v>
      </c>
      <c r="BL6" s="151">
        <v>18</v>
      </c>
    </row>
    <row r="7" s="151" customFormat="1" ht="42">
      <c r="A7" s="168"/>
      <c r="B7" s="168"/>
      <c r="C7" s="168"/>
      <c r="D7" s="168"/>
      <c r="E7" s="168"/>
      <c r="F7" s="168"/>
      <c r="G7" s="168"/>
      <c r="H7" s="169"/>
      <c r="I7" s="152" t="s">
        <v>328</v>
      </c>
      <c r="J7" s="182" t="s">
        <v>329</v>
      </c>
      <c r="K7" s="182" t="s">
        <v>330</v>
      </c>
      <c r="L7" s="182" t="s">
        <v>331</v>
      </c>
      <c r="M7" s="182"/>
      <c r="N7" s="183" t="s">
        <v>306</v>
      </c>
      <c r="O7" s="182" t="s">
        <v>48</v>
      </c>
      <c r="P7" s="182" t="s">
        <v>49</v>
      </c>
      <c r="Q7" s="183" t="s">
        <v>306</v>
      </c>
      <c r="R7" s="182" t="s">
        <v>48</v>
      </c>
      <c r="S7" s="182" t="s">
        <v>49</v>
      </c>
      <c r="T7" s="182" t="s">
        <v>49</v>
      </c>
      <c r="U7" s="182" t="s">
        <v>49</v>
      </c>
      <c r="V7" s="184"/>
      <c r="W7" s="184"/>
      <c r="X7" s="152" t="s">
        <v>332</v>
      </c>
      <c r="Y7" s="152" t="s">
        <v>333</v>
      </c>
      <c r="Z7" s="185" t="s">
        <v>334</v>
      </c>
      <c r="AA7" s="152" t="s">
        <v>313</v>
      </c>
      <c r="AB7" s="152" t="s">
        <v>335</v>
      </c>
      <c r="AC7" s="152" t="s">
        <v>336</v>
      </c>
      <c r="AD7" s="152" t="s">
        <v>337</v>
      </c>
      <c r="AE7" s="152" t="s">
        <v>338</v>
      </c>
      <c r="AF7" s="165" t="s">
        <v>339</v>
      </c>
      <c r="AG7" s="165" t="s">
        <v>340</v>
      </c>
      <c r="AH7" s="165" t="s">
        <v>341</v>
      </c>
      <c r="AI7" s="165" t="s">
        <v>342</v>
      </c>
      <c r="AJ7" s="165" t="s">
        <v>313</v>
      </c>
      <c r="AK7" s="165" t="s">
        <v>334</v>
      </c>
      <c r="AL7" s="165" t="s">
        <v>62</v>
      </c>
      <c r="AM7" s="186"/>
      <c r="AN7" s="166"/>
      <c r="AO7" s="167"/>
      <c r="BF7" s="180" t="s">
        <v>343</v>
      </c>
      <c r="BG7" s="151">
        <v>1940</v>
      </c>
      <c r="BK7" s="181" t="s">
        <v>344</v>
      </c>
      <c r="BL7" s="151">
        <v>18</v>
      </c>
    </row>
    <row r="8" s="187" customFormat="1" ht="25" customHeight="1">
      <c r="A8" s="188">
        <v>1</v>
      </c>
      <c r="B8" s="189" t="s">
        <v>345</v>
      </c>
      <c r="C8" s="190" t="str">
        <f>IFERROR(VLOOKUP(B8,REFERENSI!$C$6:$D$15,2,FALSE)," ")</f>
        <v>02</v>
      </c>
      <c r="D8" s="191"/>
      <c r="E8" s="189" t="s">
        <v>76</v>
      </c>
      <c r="F8" s="190" t="str">
        <f>IFERROR(VLOOKUP(E8,REFERENSI!$F$5:$G$6,2,FALSE)," ")</f>
        <v>01</v>
      </c>
      <c r="G8" s="189" t="s">
        <v>346</v>
      </c>
      <c r="H8" s="192" t="str">
        <f t="shared" ref="H8:H34" si="0">IFERROR((M8&amp;"  "&amp;P8&amp;O8&amp;" "&amp;C8&amp;" "&amp;F8&amp;" "&amp;D8)," ")</f>
        <v xml:space="preserve">19410413  200107 02 01 </v>
      </c>
      <c r="I8" s="189" t="s">
        <v>347</v>
      </c>
      <c r="J8" s="193">
        <v>13</v>
      </c>
      <c r="K8" s="193" t="s">
        <v>348</v>
      </c>
      <c r="L8" s="193">
        <v>1941</v>
      </c>
      <c r="M8" s="194" t="str">
        <f t="shared" ref="M8:M34" si="1">L8&amp;K8&amp;J8</f>
        <v>19410413</v>
      </c>
      <c r="N8" s="193" t="s">
        <v>325</v>
      </c>
      <c r="O8" s="193" t="s">
        <v>349</v>
      </c>
      <c r="P8" s="195">
        <v>2001</v>
      </c>
      <c r="Q8" s="193" t="s">
        <v>325</v>
      </c>
      <c r="R8" s="193" t="s">
        <v>349</v>
      </c>
      <c r="S8" s="195">
        <v>2001</v>
      </c>
      <c r="T8" s="188">
        <f t="shared" ref="T8:T9" si="2">IFERROR(($E$4-S8)," ")</f>
        <v>24</v>
      </c>
      <c r="U8" s="188">
        <f t="shared" ref="U8:U34" si="3">$E$4-P8</f>
        <v>24</v>
      </c>
      <c r="V8" s="188">
        <f t="shared" ref="V8:V34" si="4">IF(U8=$E$4," ",U8)</f>
        <v>24</v>
      </c>
      <c r="W8" s="188">
        <f t="shared" ref="W8:W34" si="5">IF(T8=$E$4," ",T8)</f>
        <v>24</v>
      </c>
      <c r="X8" s="195" t="s">
        <v>350</v>
      </c>
      <c r="Y8" s="196" t="s">
        <v>351</v>
      </c>
      <c r="Z8" s="197">
        <v>1995</v>
      </c>
      <c r="AA8" s="195" t="s">
        <v>352</v>
      </c>
      <c r="AB8" s="195"/>
      <c r="AC8" s="188" t="str">
        <f>IFERROR(VLOOKUP(AD8,REFERENSI!$H$5:$I$13,2,FALSE)," ")</f>
        <v xml:space="preserve"> </v>
      </c>
      <c r="AD8" s="195"/>
      <c r="AE8" s="189" t="s">
        <v>353</v>
      </c>
      <c r="AF8" s="195">
        <v>0</v>
      </c>
      <c r="AG8" s="195" t="s">
        <v>327</v>
      </c>
      <c r="AH8" s="198">
        <f t="shared" ref="AH8:AH34" si="6">VLOOKUP(AG8,$BK$6:$BL$19,2,FALSE)</f>
        <v>18</v>
      </c>
      <c r="AI8" s="198">
        <f t="shared" ref="AI8:AI34" si="7">IFERROR((AF8+AH8)," ")</f>
        <v>18</v>
      </c>
      <c r="AJ8" s="195" t="s">
        <v>352</v>
      </c>
      <c r="AK8" s="195"/>
      <c r="AL8" s="199"/>
      <c r="AM8" s="200" t="s">
        <v>326</v>
      </c>
      <c r="AN8" s="201"/>
      <c r="AO8" s="202"/>
      <c r="BF8" s="203" t="s">
        <v>354</v>
      </c>
      <c r="BG8" s="204">
        <v>1941</v>
      </c>
      <c r="BK8" s="205" t="s">
        <v>355</v>
      </c>
      <c r="BL8" s="206">
        <v>12</v>
      </c>
    </row>
    <row r="9" s="207" customFormat="1" ht="25" customHeight="1">
      <c r="A9" s="188">
        <v>2</v>
      </c>
      <c r="B9" s="189" t="s">
        <v>345</v>
      </c>
      <c r="C9" s="190" t="str">
        <f>IFERROR(VLOOKUP(B9,REFERENSI!$C$6:$D$15,2,FALSE)," ")</f>
        <v>02</v>
      </c>
      <c r="D9" s="191"/>
      <c r="E9" s="189" t="s">
        <v>76</v>
      </c>
      <c r="F9" s="190" t="str">
        <f>IFERROR(VLOOKUP(E9,REFERENSI!$F$5:$G$6,2,FALSE)," ")</f>
        <v>01</v>
      </c>
      <c r="G9" s="189" t="s">
        <v>356</v>
      </c>
      <c r="H9" s="192" t="str">
        <f t="shared" si="0"/>
        <v xml:space="preserve">19850425  200307 02 01 </v>
      </c>
      <c r="I9" s="189" t="s">
        <v>347</v>
      </c>
      <c r="J9" s="193">
        <v>25</v>
      </c>
      <c r="K9" s="193" t="s">
        <v>348</v>
      </c>
      <c r="L9" s="193">
        <v>1985</v>
      </c>
      <c r="M9" s="194" t="str">
        <f t="shared" si="1"/>
        <v>19850425</v>
      </c>
      <c r="N9" s="193" t="s">
        <v>325</v>
      </c>
      <c r="O9" s="193" t="s">
        <v>349</v>
      </c>
      <c r="P9" s="195">
        <v>2003</v>
      </c>
      <c r="Q9" s="193" t="s">
        <v>325</v>
      </c>
      <c r="R9" s="193" t="s">
        <v>349</v>
      </c>
      <c r="S9" s="195">
        <v>2003</v>
      </c>
      <c r="T9" s="188">
        <f t="shared" si="2"/>
        <v>22</v>
      </c>
      <c r="U9" s="188">
        <f t="shared" si="3"/>
        <v>22</v>
      </c>
      <c r="V9" s="188">
        <f t="shared" si="4"/>
        <v>22</v>
      </c>
      <c r="W9" s="188">
        <f t="shared" si="5"/>
        <v>22</v>
      </c>
      <c r="X9" s="195" t="s">
        <v>357</v>
      </c>
      <c r="Y9" s="196" t="s">
        <v>351</v>
      </c>
      <c r="Z9" s="197">
        <v>2008</v>
      </c>
      <c r="AA9" s="195" t="s">
        <v>358</v>
      </c>
      <c r="AB9" s="195" t="s">
        <v>359</v>
      </c>
      <c r="AC9" s="188" t="str">
        <f>IFERROR(VLOOKUP(AD9,REFERENSI!$H$5:$I$13,2,FALSE)," ")</f>
        <v xml:space="preserve">PENATA MUDA </v>
      </c>
      <c r="AD9" s="195" t="s">
        <v>360</v>
      </c>
      <c r="AE9" s="189" t="s">
        <v>353</v>
      </c>
      <c r="AF9" s="195">
        <v>30</v>
      </c>
      <c r="AG9" s="195" t="s">
        <v>326</v>
      </c>
      <c r="AH9" s="208" t="str">
        <f t="shared" si="6"/>
        <v>-</v>
      </c>
      <c r="AI9" s="198" t="str">
        <f t="shared" si="7"/>
        <v xml:space="preserve"> </v>
      </c>
      <c r="AJ9" s="195" t="s">
        <v>358</v>
      </c>
      <c r="AK9" s="195">
        <v>2014</v>
      </c>
      <c r="AL9" s="199"/>
      <c r="AM9" s="209" t="s">
        <v>361</v>
      </c>
      <c r="AN9" s="210"/>
      <c r="AO9" s="142"/>
      <c r="BF9" s="203" t="s">
        <v>348</v>
      </c>
      <c r="BG9" s="204">
        <v>1942</v>
      </c>
      <c r="BK9" s="211" t="s">
        <v>362</v>
      </c>
      <c r="BL9" s="204">
        <v>12</v>
      </c>
    </row>
    <row r="10" s="207" customFormat="1" ht="25" customHeight="1">
      <c r="A10" s="188">
        <v>3</v>
      </c>
      <c r="B10" s="189" t="s">
        <v>345</v>
      </c>
      <c r="C10" s="190" t="str">
        <f>IFERROR(VLOOKUP(B10,REFERENSI!$C$6:$D$15,2,FALSE)," ")</f>
        <v>02</v>
      </c>
      <c r="D10" s="191"/>
      <c r="E10" s="189" t="s">
        <v>76</v>
      </c>
      <c r="F10" s="190" t="str">
        <f>IFERROR(VLOOKUP(E10,REFERENSI!$F$5:$G$6,2,FALSE)," ")</f>
        <v>01</v>
      </c>
      <c r="G10" s="189" t="s">
        <v>363</v>
      </c>
      <c r="H10" s="192" t="str">
        <f t="shared" si="0"/>
        <v xml:space="preserve">19731025  200501 02 01 </v>
      </c>
      <c r="I10" s="189" t="s">
        <v>347</v>
      </c>
      <c r="J10" s="193">
        <v>25</v>
      </c>
      <c r="K10" s="193">
        <v>10</v>
      </c>
      <c r="L10" s="193">
        <v>1973</v>
      </c>
      <c r="M10" s="194" t="str">
        <f t="shared" si="1"/>
        <v>19731025</v>
      </c>
      <c r="N10" s="193" t="s">
        <v>343</v>
      </c>
      <c r="O10" s="193" t="s">
        <v>325</v>
      </c>
      <c r="P10" s="195">
        <v>2005</v>
      </c>
      <c r="Q10" s="193" t="s">
        <v>343</v>
      </c>
      <c r="R10" s="193" t="s">
        <v>325</v>
      </c>
      <c r="S10" s="195">
        <v>2005</v>
      </c>
      <c r="T10" s="188">
        <f t="shared" ref="T10:T73" si="8">$E$4-S10</f>
        <v>20</v>
      </c>
      <c r="U10" s="188">
        <f t="shared" si="3"/>
        <v>20</v>
      </c>
      <c r="V10" s="188">
        <f t="shared" si="4"/>
        <v>20</v>
      </c>
      <c r="W10" s="188">
        <f t="shared" si="5"/>
        <v>20</v>
      </c>
      <c r="X10" s="195" t="s">
        <v>357</v>
      </c>
      <c r="Y10" s="196" t="s">
        <v>351</v>
      </c>
      <c r="Z10" s="197">
        <v>1995</v>
      </c>
      <c r="AA10" s="195" t="s">
        <v>358</v>
      </c>
      <c r="AB10" s="195" t="s">
        <v>364</v>
      </c>
      <c r="AC10" s="188" t="str">
        <f>IFERROR(VLOOKUP(AD10,REFERENSI!$H$5:$I$13,2,FALSE)," ")</f>
        <v xml:space="preserve">PENATA MUDA TK. I</v>
      </c>
      <c r="AD10" s="195" t="s">
        <v>365</v>
      </c>
      <c r="AE10" s="189" t="s">
        <v>353</v>
      </c>
      <c r="AF10" s="195">
        <v>30</v>
      </c>
      <c r="AG10" s="195" t="s">
        <v>326</v>
      </c>
      <c r="AH10" s="208" t="str">
        <f t="shared" si="6"/>
        <v>-</v>
      </c>
      <c r="AI10" s="198" t="str">
        <f t="shared" si="7"/>
        <v xml:space="preserve"> </v>
      </c>
      <c r="AJ10" s="195" t="s">
        <v>358</v>
      </c>
      <c r="AK10" s="195">
        <v>2012</v>
      </c>
      <c r="AL10" s="209" t="s">
        <v>366</v>
      </c>
      <c r="AM10" s="209" t="s">
        <v>367</v>
      </c>
      <c r="AN10" s="210"/>
      <c r="AO10" s="142"/>
      <c r="BF10" s="203" t="s">
        <v>368</v>
      </c>
      <c r="BG10" s="204">
        <v>1943</v>
      </c>
      <c r="BK10" s="211" t="s">
        <v>369</v>
      </c>
      <c r="BL10" s="204">
        <v>12</v>
      </c>
    </row>
    <row r="11" s="207" customFormat="1" ht="25" customHeight="1">
      <c r="A11" s="188">
        <v>4</v>
      </c>
      <c r="B11" s="189" t="s">
        <v>345</v>
      </c>
      <c r="C11" s="190" t="str">
        <f>IFERROR(VLOOKUP(B11,REFERENSI!$C$6:$D$15,2,FALSE)," ")</f>
        <v>02</v>
      </c>
      <c r="D11" s="191"/>
      <c r="E11" s="189" t="s">
        <v>76</v>
      </c>
      <c r="F11" s="190" t="str">
        <f>IFERROR(VLOOKUP(E11,REFERENSI!$F$5:$G$6,2,FALSE)," ")</f>
        <v>01</v>
      </c>
      <c r="G11" s="189" t="s">
        <v>370</v>
      </c>
      <c r="H11" s="192" t="str">
        <f t="shared" si="0"/>
        <v xml:space="preserve">19850116  200607 02 01 </v>
      </c>
      <c r="I11" s="189" t="s">
        <v>347</v>
      </c>
      <c r="J11" s="193">
        <v>16</v>
      </c>
      <c r="K11" s="193" t="s">
        <v>325</v>
      </c>
      <c r="L11" s="193">
        <v>1985</v>
      </c>
      <c r="M11" s="194" t="str">
        <f t="shared" si="1"/>
        <v>19850116</v>
      </c>
      <c r="N11" s="193" t="s">
        <v>325</v>
      </c>
      <c r="O11" s="193" t="s">
        <v>349</v>
      </c>
      <c r="P11" s="195">
        <v>2006</v>
      </c>
      <c r="Q11" s="193" t="s">
        <v>325</v>
      </c>
      <c r="R11" s="193" t="s">
        <v>349</v>
      </c>
      <c r="S11" s="195">
        <v>2006</v>
      </c>
      <c r="T11" s="188">
        <f t="shared" si="8"/>
        <v>19</v>
      </c>
      <c r="U11" s="188">
        <f t="shared" si="3"/>
        <v>19</v>
      </c>
      <c r="V11" s="188">
        <f t="shared" si="4"/>
        <v>19</v>
      </c>
      <c r="W11" s="188">
        <f t="shared" si="5"/>
        <v>19</v>
      </c>
      <c r="X11" s="195" t="s">
        <v>357</v>
      </c>
      <c r="Y11" s="196" t="s">
        <v>371</v>
      </c>
      <c r="Z11" s="197">
        <v>2012</v>
      </c>
      <c r="AA11" s="195" t="s">
        <v>352</v>
      </c>
      <c r="AB11" s="195"/>
      <c r="AC11" s="188" t="str">
        <f>IFERROR(VLOOKUP(AD11,REFERENSI!$H$5:$I$13,2,FALSE)," ")</f>
        <v xml:space="preserve"> </v>
      </c>
      <c r="AD11" s="195"/>
      <c r="AE11" s="189" t="s">
        <v>353</v>
      </c>
      <c r="AF11" s="195">
        <v>30</v>
      </c>
      <c r="AG11" s="195" t="s">
        <v>326</v>
      </c>
      <c r="AH11" s="208" t="str">
        <f t="shared" si="6"/>
        <v>-</v>
      </c>
      <c r="AI11" s="198" t="str">
        <f t="shared" si="7"/>
        <v xml:space="preserve"> </v>
      </c>
      <c r="AJ11" s="195" t="s">
        <v>352</v>
      </c>
      <c r="AK11" s="195"/>
      <c r="AL11" s="199"/>
      <c r="AM11" s="209" t="s">
        <v>372</v>
      </c>
      <c r="AN11" s="210"/>
      <c r="AO11" s="142"/>
      <c r="BF11" s="203" t="s">
        <v>373</v>
      </c>
      <c r="BG11" s="204">
        <v>1944</v>
      </c>
      <c r="BK11" s="211" t="s">
        <v>374</v>
      </c>
      <c r="BL11" s="204">
        <v>12</v>
      </c>
    </row>
    <row r="12" s="207" customFormat="1" ht="25" customHeight="1">
      <c r="A12" s="188">
        <v>5</v>
      </c>
      <c r="B12" s="189" t="s">
        <v>375</v>
      </c>
      <c r="C12" s="190" t="str">
        <f>IFERROR(VLOOKUP(B12,REFERENSI!$C$6:$D$15,2,FALSE)," ")</f>
        <v>01</v>
      </c>
      <c r="D12" s="191"/>
      <c r="E12" s="189" t="s">
        <v>76</v>
      </c>
      <c r="F12" s="190" t="str">
        <f>IFERROR(VLOOKUP(E12,REFERENSI!$F$5:$G$6,2,FALSE)," ")</f>
        <v>01</v>
      </c>
      <c r="G12" s="189" t="s">
        <v>376</v>
      </c>
      <c r="H12" s="192" t="str">
        <f t="shared" si="0"/>
        <v xml:space="preserve">19830614  200707 01 01 </v>
      </c>
      <c r="I12" s="189" t="s">
        <v>347</v>
      </c>
      <c r="J12" s="193">
        <v>14</v>
      </c>
      <c r="K12" s="193" t="s">
        <v>373</v>
      </c>
      <c r="L12" s="193">
        <v>1983</v>
      </c>
      <c r="M12" s="194" t="str">
        <f t="shared" si="1"/>
        <v>19830614</v>
      </c>
      <c r="N12" s="193">
        <v>16</v>
      </c>
      <c r="O12" s="193" t="s">
        <v>349</v>
      </c>
      <c r="P12" s="195">
        <v>2007</v>
      </c>
      <c r="Q12" s="193">
        <v>16</v>
      </c>
      <c r="R12" s="193" t="s">
        <v>349</v>
      </c>
      <c r="S12" s="195">
        <v>2007</v>
      </c>
      <c r="T12" s="188">
        <f t="shared" si="8"/>
        <v>18</v>
      </c>
      <c r="U12" s="188">
        <f t="shared" si="3"/>
        <v>18</v>
      </c>
      <c r="V12" s="188">
        <f t="shared" si="4"/>
        <v>18</v>
      </c>
      <c r="W12" s="188">
        <f t="shared" si="5"/>
        <v>18</v>
      </c>
      <c r="X12" s="195" t="s">
        <v>357</v>
      </c>
      <c r="Y12" s="196" t="s">
        <v>375</v>
      </c>
      <c r="Z12" s="197">
        <v>2002</v>
      </c>
      <c r="AA12" s="195" t="s">
        <v>352</v>
      </c>
      <c r="AB12" s="195" t="s">
        <v>359</v>
      </c>
      <c r="AC12" s="188" t="str">
        <f>IFERROR(VLOOKUP(AD12,REFERENSI!$H$5:$I$13,2,FALSE)," ")</f>
        <v xml:space="preserve"> </v>
      </c>
      <c r="AD12" s="195"/>
      <c r="AE12" s="189" t="s">
        <v>377</v>
      </c>
      <c r="AF12" s="195">
        <v>26</v>
      </c>
      <c r="AG12" s="195" t="s">
        <v>326</v>
      </c>
      <c r="AH12" s="208" t="str">
        <f t="shared" si="6"/>
        <v>-</v>
      </c>
      <c r="AI12" s="198" t="str">
        <f t="shared" si="7"/>
        <v xml:space="preserve"> </v>
      </c>
      <c r="AJ12" s="195" t="s">
        <v>358</v>
      </c>
      <c r="AK12" s="195">
        <v>2010</v>
      </c>
      <c r="AL12" s="209" t="s">
        <v>378</v>
      </c>
      <c r="AM12" s="209" t="s">
        <v>379</v>
      </c>
      <c r="AN12" s="210"/>
      <c r="AO12" s="142"/>
      <c r="BF12" s="203" t="s">
        <v>349</v>
      </c>
      <c r="BG12" s="204">
        <v>1945</v>
      </c>
      <c r="BK12" s="211" t="s">
        <v>380</v>
      </c>
      <c r="BL12" s="204">
        <v>12</v>
      </c>
    </row>
    <row r="13" s="207" customFormat="1" ht="25" customHeight="1">
      <c r="A13" s="188">
        <v>6</v>
      </c>
      <c r="B13" s="189" t="s">
        <v>375</v>
      </c>
      <c r="C13" s="190" t="str">
        <f>IFERROR(VLOOKUP(B13,REFERENSI!$C$6:$D$15,2,FALSE)," ")</f>
        <v>01</v>
      </c>
      <c r="D13" s="191"/>
      <c r="E13" s="189" t="s">
        <v>76</v>
      </c>
      <c r="F13" s="190" t="str">
        <f>IFERROR(VLOOKUP(E13,REFERENSI!$F$5:$G$6,2,FALSE)," ")</f>
        <v>01</v>
      </c>
      <c r="G13" s="189" t="s">
        <v>381</v>
      </c>
      <c r="H13" s="192" t="str">
        <f t="shared" si="0"/>
        <v xml:space="preserve">19851023  200807 01 01 </v>
      </c>
      <c r="I13" s="189" t="s">
        <v>347</v>
      </c>
      <c r="J13" s="193">
        <v>23</v>
      </c>
      <c r="K13" s="193">
        <v>10</v>
      </c>
      <c r="L13" s="193">
        <v>1985</v>
      </c>
      <c r="M13" s="194" t="str">
        <f t="shared" si="1"/>
        <v>19851023</v>
      </c>
      <c r="N13" s="193">
        <v>14</v>
      </c>
      <c r="O13" s="193" t="s">
        <v>349</v>
      </c>
      <c r="P13" s="195">
        <v>2008</v>
      </c>
      <c r="Q13" s="193">
        <v>14</v>
      </c>
      <c r="R13" s="193" t="s">
        <v>349</v>
      </c>
      <c r="S13" s="195">
        <v>2008</v>
      </c>
      <c r="T13" s="188">
        <f t="shared" si="8"/>
        <v>17</v>
      </c>
      <c r="U13" s="188">
        <f t="shared" si="3"/>
        <v>17</v>
      </c>
      <c r="V13" s="188">
        <f t="shared" si="4"/>
        <v>17</v>
      </c>
      <c r="W13" s="188">
        <f t="shared" si="5"/>
        <v>17</v>
      </c>
      <c r="X13" s="195" t="s">
        <v>357</v>
      </c>
      <c r="Y13" s="196" t="s">
        <v>382</v>
      </c>
      <c r="Z13" s="197">
        <v>2010</v>
      </c>
      <c r="AA13" s="195" t="s">
        <v>352</v>
      </c>
      <c r="AB13" s="195" t="s">
        <v>359</v>
      </c>
      <c r="AC13" s="188" t="str">
        <f>IFERROR(VLOOKUP(AD13,REFERENSI!$H$5:$I$13,2,FALSE)," ")</f>
        <v xml:space="preserve"> </v>
      </c>
      <c r="AD13" s="195"/>
      <c r="AE13" s="189" t="s">
        <v>377</v>
      </c>
      <c r="AF13" s="195">
        <v>25</v>
      </c>
      <c r="AG13" s="195" t="s">
        <v>326</v>
      </c>
      <c r="AH13" s="208" t="str">
        <f t="shared" si="6"/>
        <v>-</v>
      </c>
      <c r="AI13" s="198" t="str">
        <f t="shared" si="7"/>
        <v xml:space="preserve"> </v>
      </c>
      <c r="AJ13" s="195" t="s">
        <v>358</v>
      </c>
      <c r="AK13" s="195">
        <v>2009</v>
      </c>
      <c r="AL13" s="209" t="s">
        <v>383</v>
      </c>
      <c r="AM13" s="209" t="s">
        <v>384</v>
      </c>
      <c r="AN13" s="210"/>
      <c r="AO13" s="142"/>
      <c r="BF13" s="203" t="s">
        <v>385</v>
      </c>
      <c r="BG13" s="204">
        <v>1946</v>
      </c>
      <c r="BK13" s="211" t="s">
        <v>386</v>
      </c>
      <c r="BL13" s="204">
        <v>12</v>
      </c>
    </row>
    <row r="14" s="207" customFormat="1" ht="25" customHeight="1">
      <c r="A14" s="188">
        <v>7</v>
      </c>
      <c r="B14" s="189" t="s">
        <v>375</v>
      </c>
      <c r="C14" s="190" t="str">
        <f>IFERROR(VLOOKUP(B14,REFERENSI!$C$6:$D$15,2,FALSE)," ")</f>
        <v>01</v>
      </c>
      <c r="D14" s="191"/>
      <c r="E14" s="189" t="s">
        <v>387</v>
      </c>
      <c r="F14" s="190" t="str">
        <f>IFERROR(VLOOKUP(E14,REFERENSI!$F$5:$G$6,2,FALSE)," ")</f>
        <v>02</v>
      </c>
      <c r="G14" s="189" t="s">
        <v>388</v>
      </c>
      <c r="H14" s="192" t="str">
        <f t="shared" si="0"/>
        <v xml:space="preserve">19840707  201307 01 02 </v>
      </c>
      <c r="I14" s="189" t="s">
        <v>347</v>
      </c>
      <c r="J14" s="193" t="s">
        <v>349</v>
      </c>
      <c r="K14" s="193" t="s">
        <v>349</v>
      </c>
      <c r="L14" s="193">
        <v>1984</v>
      </c>
      <c r="M14" s="194" t="str">
        <f t="shared" si="1"/>
        <v>19840707</v>
      </c>
      <c r="N14" s="193" t="s">
        <v>385</v>
      </c>
      <c r="O14" s="193" t="s">
        <v>349</v>
      </c>
      <c r="P14" s="195">
        <v>2013</v>
      </c>
      <c r="Q14" s="193" t="s">
        <v>385</v>
      </c>
      <c r="R14" s="193" t="s">
        <v>349</v>
      </c>
      <c r="S14" s="195">
        <v>2013</v>
      </c>
      <c r="T14" s="188">
        <f t="shared" si="8"/>
        <v>12</v>
      </c>
      <c r="U14" s="188">
        <f t="shared" si="3"/>
        <v>12</v>
      </c>
      <c r="V14" s="188">
        <f t="shared" si="4"/>
        <v>12</v>
      </c>
      <c r="W14" s="188">
        <f t="shared" si="5"/>
        <v>12</v>
      </c>
      <c r="X14" s="195" t="s">
        <v>389</v>
      </c>
      <c r="Y14" s="196" t="s">
        <v>390</v>
      </c>
      <c r="Z14" s="197">
        <v>2003</v>
      </c>
      <c r="AA14" s="195" t="s">
        <v>352</v>
      </c>
      <c r="AB14" s="195" t="s">
        <v>359</v>
      </c>
      <c r="AC14" s="188" t="str">
        <f>IFERROR(VLOOKUP(AD14,REFERENSI!$H$5:$I$13,2,FALSE)," ")</f>
        <v xml:space="preserve"> </v>
      </c>
      <c r="AD14" s="195"/>
      <c r="AE14" s="189" t="s">
        <v>377</v>
      </c>
      <c r="AF14" s="195">
        <v>25</v>
      </c>
      <c r="AG14" s="195" t="s">
        <v>326</v>
      </c>
      <c r="AH14" s="208" t="str">
        <f t="shared" si="6"/>
        <v>-</v>
      </c>
      <c r="AI14" s="198" t="str">
        <f t="shared" si="7"/>
        <v xml:space="preserve"> </v>
      </c>
      <c r="AJ14" s="195" t="s">
        <v>358</v>
      </c>
      <c r="AK14" s="195">
        <v>2012</v>
      </c>
      <c r="AL14" s="209" t="s">
        <v>391</v>
      </c>
      <c r="AM14" s="209" t="s">
        <v>392</v>
      </c>
      <c r="AN14" s="210"/>
      <c r="AO14" s="142"/>
      <c r="BF14" s="203" t="s">
        <v>393</v>
      </c>
      <c r="BG14" s="204">
        <v>1947</v>
      </c>
      <c r="BK14" s="211" t="s">
        <v>394</v>
      </c>
      <c r="BL14" s="204">
        <v>12</v>
      </c>
    </row>
    <row r="15" s="207" customFormat="1" ht="25" customHeight="1">
      <c r="A15" s="188">
        <v>8</v>
      </c>
      <c r="B15" s="189" t="s">
        <v>395</v>
      </c>
      <c r="C15" s="190" t="str">
        <f>IFERROR(VLOOKUP(B15,REFERENSI!$C$6:$D$15,2,FALSE)," ")</f>
        <v>03</v>
      </c>
      <c r="D15" s="191">
        <v>67</v>
      </c>
      <c r="E15" s="189" t="s">
        <v>76</v>
      </c>
      <c r="F15" s="190" t="str">
        <f>IFERROR(VLOOKUP(E15,REFERENSI!$F$5:$G$6,2,FALSE)," ")</f>
        <v>01</v>
      </c>
      <c r="G15" s="189" t="s">
        <v>396</v>
      </c>
      <c r="H15" s="192" t="str">
        <f t="shared" si="0"/>
        <v xml:space="preserve">19680903  199507 03 01 67</v>
      </c>
      <c r="I15" s="189" t="s">
        <v>347</v>
      </c>
      <c r="J15" s="193" t="s">
        <v>354</v>
      </c>
      <c r="K15" s="193" t="s">
        <v>393</v>
      </c>
      <c r="L15" s="193">
        <v>1968</v>
      </c>
      <c r="M15" s="194" t="str">
        <f t="shared" si="1"/>
        <v>19680903</v>
      </c>
      <c r="N15" s="193" t="s">
        <v>368</v>
      </c>
      <c r="O15" s="193" t="s">
        <v>349</v>
      </c>
      <c r="P15" s="195">
        <v>1995</v>
      </c>
      <c r="Q15" s="193" t="s">
        <v>368</v>
      </c>
      <c r="R15" s="193" t="s">
        <v>349</v>
      </c>
      <c r="S15" s="195">
        <v>1995</v>
      </c>
      <c r="T15" s="188">
        <f t="shared" si="8"/>
        <v>30</v>
      </c>
      <c r="U15" s="188">
        <f t="shared" si="3"/>
        <v>30</v>
      </c>
      <c r="V15" s="188">
        <f t="shared" si="4"/>
        <v>30</v>
      </c>
      <c r="W15" s="188">
        <f t="shared" si="5"/>
        <v>30</v>
      </c>
      <c r="X15" s="195" t="s">
        <v>357</v>
      </c>
      <c r="Y15" s="196" t="s">
        <v>351</v>
      </c>
      <c r="Z15" s="197">
        <v>2009</v>
      </c>
      <c r="AA15" s="195" t="s">
        <v>358</v>
      </c>
      <c r="AB15" s="195" t="s">
        <v>397</v>
      </c>
      <c r="AC15" s="188" t="str">
        <f>IFERROR(VLOOKUP(AD15,REFERENSI!$H$5:$I$13,2,FALSE)," ")</f>
        <v xml:space="preserve">PENATA  </v>
      </c>
      <c r="AD15" s="195" t="s">
        <v>398</v>
      </c>
      <c r="AE15" s="189" t="s">
        <v>353</v>
      </c>
      <c r="AF15" s="195">
        <v>26</v>
      </c>
      <c r="AG15" s="195" t="s">
        <v>326</v>
      </c>
      <c r="AH15" s="208" t="str">
        <f t="shared" si="6"/>
        <v>-</v>
      </c>
      <c r="AI15" s="198" t="str">
        <f t="shared" si="7"/>
        <v xml:space="preserve"> </v>
      </c>
      <c r="AJ15" s="195" t="s">
        <v>352</v>
      </c>
      <c r="AK15" s="195"/>
      <c r="AL15" s="199"/>
      <c r="AM15" s="209" t="s">
        <v>399</v>
      </c>
      <c r="AN15" s="210"/>
      <c r="AO15" s="142"/>
      <c r="BF15" s="203" t="s">
        <v>400</v>
      </c>
      <c r="BG15" s="204">
        <v>1948</v>
      </c>
      <c r="BK15" s="211" t="s">
        <v>401</v>
      </c>
      <c r="BL15" s="204">
        <v>12</v>
      </c>
    </row>
    <row r="16" s="207" customFormat="1" ht="25" customHeight="1">
      <c r="A16" s="188">
        <v>9</v>
      </c>
      <c r="B16" s="189" t="s">
        <v>395</v>
      </c>
      <c r="C16" s="190" t="str">
        <f>IFERROR(VLOOKUP(B16,REFERENSI!$C$6:$D$15,2,FALSE)," ")</f>
        <v>03</v>
      </c>
      <c r="D16" s="191" t="s">
        <v>325</v>
      </c>
      <c r="E16" s="189" t="s">
        <v>76</v>
      </c>
      <c r="F16" s="190" t="str">
        <f>IFERROR(VLOOKUP(E16,REFERENSI!$F$5:$G$6,2,FALSE)," ")</f>
        <v>01</v>
      </c>
      <c r="G16" s="189" t="s">
        <v>402</v>
      </c>
      <c r="H16" s="192" t="str">
        <f t="shared" si="0"/>
        <v xml:space="preserve">19790602  200007 03 01 01</v>
      </c>
      <c r="I16" s="189" t="s">
        <v>347</v>
      </c>
      <c r="J16" s="193" t="s">
        <v>343</v>
      </c>
      <c r="K16" s="193" t="s">
        <v>373</v>
      </c>
      <c r="L16" s="193">
        <v>1979</v>
      </c>
      <c r="M16" s="194" t="str">
        <f t="shared" si="1"/>
        <v>19790602</v>
      </c>
      <c r="N16" s="193" t="s">
        <v>325</v>
      </c>
      <c r="O16" s="193" t="s">
        <v>349</v>
      </c>
      <c r="P16" s="195">
        <v>2000</v>
      </c>
      <c r="Q16" s="193" t="s">
        <v>325</v>
      </c>
      <c r="R16" s="193" t="s">
        <v>349</v>
      </c>
      <c r="S16" s="195">
        <v>2000</v>
      </c>
      <c r="T16" s="188">
        <f t="shared" si="8"/>
        <v>25</v>
      </c>
      <c r="U16" s="188">
        <f t="shared" si="3"/>
        <v>25</v>
      </c>
      <c r="V16" s="188">
        <f t="shared" si="4"/>
        <v>25</v>
      </c>
      <c r="W16" s="188">
        <f t="shared" si="5"/>
        <v>25</v>
      </c>
      <c r="X16" s="195" t="s">
        <v>357</v>
      </c>
      <c r="Y16" s="196" t="s">
        <v>351</v>
      </c>
      <c r="Z16" s="197">
        <v>2004</v>
      </c>
      <c r="AA16" s="195" t="s">
        <v>358</v>
      </c>
      <c r="AB16" s="195" t="s">
        <v>359</v>
      </c>
      <c r="AC16" s="188" t="str">
        <f>IFERROR(VLOOKUP(AD16,REFERENSI!$H$5:$I$13,2,FALSE)," ")</f>
        <v xml:space="preserve">PENATA MUDA TK. I</v>
      </c>
      <c r="AD16" s="195" t="s">
        <v>365</v>
      </c>
      <c r="AE16" s="189" t="s">
        <v>353</v>
      </c>
      <c r="AF16" s="195">
        <v>25</v>
      </c>
      <c r="AG16" s="195" t="s">
        <v>326</v>
      </c>
      <c r="AH16" s="208" t="str">
        <f t="shared" si="6"/>
        <v>-</v>
      </c>
      <c r="AI16" s="198" t="str">
        <f t="shared" si="7"/>
        <v xml:space="preserve"> </v>
      </c>
      <c r="AJ16" s="195" t="s">
        <v>352</v>
      </c>
      <c r="AK16" s="195"/>
      <c r="AL16" s="199"/>
      <c r="AM16" s="209" t="s">
        <v>403</v>
      </c>
      <c r="AN16" s="210"/>
      <c r="AO16" s="142"/>
      <c r="BF16" s="203" t="s">
        <v>404</v>
      </c>
      <c r="BG16" s="204">
        <v>1949</v>
      </c>
      <c r="BK16" s="211" t="s">
        <v>405</v>
      </c>
      <c r="BL16" s="204">
        <v>12</v>
      </c>
    </row>
    <row r="17" s="207" customFormat="1" ht="25" customHeight="1">
      <c r="A17" s="188">
        <v>10</v>
      </c>
      <c r="B17" s="189" t="s">
        <v>395</v>
      </c>
      <c r="C17" s="190" t="str">
        <f>IFERROR(VLOOKUP(B17,REFERENSI!$C$6:$D$15,2,FALSE)," ")</f>
        <v>03</v>
      </c>
      <c r="D17" s="191">
        <v>11</v>
      </c>
      <c r="E17" s="189" t="s">
        <v>76</v>
      </c>
      <c r="F17" s="190" t="str">
        <f>IFERROR(VLOOKUP(E17,REFERENSI!$F$5:$G$6,2,FALSE)," ")</f>
        <v>01</v>
      </c>
      <c r="G17" s="189" t="s">
        <v>406</v>
      </c>
      <c r="H17" s="192" t="str">
        <f t="shared" si="0"/>
        <v xml:space="preserve">19800101  200507 03 01 11</v>
      </c>
      <c r="I17" s="189" t="s">
        <v>347</v>
      </c>
      <c r="J17" s="193" t="s">
        <v>325</v>
      </c>
      <c r="K17" s="193" t="s">
        <v>325</v>
      </c>
      <c r="L17" s="193">
        <v>1980</v>
      </c>
      <c r="M17" s="194" t="str">
        <f t="shared" si="1"/>
        <v>19800101</v>
      </c>
      <c r="N17" s="193">
        <v>11</v>
      </c>
      <c r="O17" s="193" t="s">
        <v>349</v>
      </c>
      <c r="P17" s="195">
        <v>2005</v>
      </c>
      <c r="Q17" s="193">
        <v>11</v>
      </c>
      <c r="R17" s="193" t="s">
        <v>349</v>
      </c>
      <c r="S17" s="195">
        <v>2005</v>
      </c>
      <c r="T17" s="188">
        <f t="shared" si="8"/>
        <v>20</v>
      </c>
      <c r="U17" s="188">
        <f t="shared" si="3"/>
        <v>20</v>
      </c>
      <c r="V17" s="188">
        <f t="shared" si="4"/>
        <v>20</v>
      </c>
      <c r="W17" s="188">
        <f t="shared" si="5"/>
        <v>20</v>
      </c>
      <c r="X17" s="195" t="s">
        <v>357</v>
      </c>
      <c r="Y17" s="196" t="s">
        <v>407</v>
      </c>
      <c r="Z17" s="197">
        <v>2003</v>
      </c>
      <c r="AA17" s="195" t="s">
        <v>358</v>
      </c>
      <c r="AB17" s="195" t="s">
        <v>364</v>
      </c>
      <c r="AC17" s="188" t="str">
        <f>IFERROR(VLOOKUP(AD17,REFERENSI!$H$5:$I$13,2,FALSE)," ")</f>
        <v xml:space="preserve">PENATA MUDA TK. I</v>
      </c>
      <c r="AD17" s="195" t="s">
        <v>365</v>
      </c>
      <c r="AE17" s="189" t="s">
        <v>353</v>
      </c>
      <c r="AF17" s="195">
        <v>26</v>
      </c>
      <c r="AG17" s="195" t="s">
        <v>326</v>
      </c>
      <c r="AH17" s="208" t="str">
        <f t="shared" si="6"/>
        <v>-</v>
      </c>
      <c r="AI17" s="198" t="str">
        <f t="shared" si="7"/>
        <v xml:space="preserve"> </v>
      </c>
      <c r="AJ17" s="195" t="s">
        <v>352</v>
      </c>
      <c r="AK17" s="195"/>
      <c r="AL17" s="199"/>
      <c r="AM17" s="209" t="s">
        <v>408</v>
      </c>
      <c r="AN17" s="210"/>
      <c r="AO17" s="142"/>
      <c r="BF17" s="203" t="s">
        <v>409</v>
      </c>
      <c r="BG17" s="204">
        <v>1950</v>
      </c>
      <c r="BK17" s="211" t="s">
        <v>410</v>
      </c>
      <c r="BL17" s="212">
        <v>12</v>
      </c>
    </row>
    <row r="18" s="207" customFormat="1" ht="25" customHeight="1">
      <c r="A18" s="188">
        <v>11</v>
      </c>
      <c r="B18" s="189" t="s">
        <v>395</v>
      </c>
      <c r="C18" s="190" t="str">
        <f>IFERROR(VLOOKUP(B18,REFERENSI!$C$6:$D$15,2,FALSE)," ")</f>
        <v>03</v>
      </c>
      <c r="D18" s="191">
        <v>24</v>
      </c>
      <c r="E18" s="189" t="s">
        <v>76</v>
      </c>
      <c r="F18" s="190" t="str">
        <f>IFERROR(VLOOKUP(E18,REFERENSI!$F$5:$G$6,2,FALSE)," ")</f>
        <v>01</v>
      </c>
      <c r="G18" s="189" t="s">
        <v>411</v>
      </c>
      <c r="H18" s="192" t="str">
        <f t="shared" si="0"/>
        <v xml:space="preserve">19860526  200509 03 01 24</v>
      </c>
      <c r="I18" s="189" t="s">
        <v>347</v>
      </c>
      <c r="J18" s="193">
        <v>26</v>
      </c>
      <c r="K18" s="193" t="s">
        <v>368</v>
      </c>
      <c r="L18" s="193">
        <v>1986</v>
      </c>
      <c r="M18" s="194" t="str">
        <f t="shared" si="1"/>
        <v>19860526</v>
      </c>
      <c r="N18" s="193" t="s">
        <v>325</v>
      </c>
      <c r="O18" s="193" t="s">
        <v>393</v>
      </c>
      <c r="P18" s="195">
        <v>2005</v>
      </c>
      <c r="Q18" s="193" t="s">
        <v>325</v>
      </c>
      <c r="R18" s="193" t="s">
        <v>393</v>
      </c>
      <c r="S18" s="195">
        <v>2005</v>
      </c>
      <c r="T18" s="188">
        <f t="shared" si="8"/>
        <v>20</v>
      </c>
      <c r="U18" s="188">
        <f t="shared" si="3"/>
        <v>20</v>
      </c>
      <c r="V18" s="188">
        <f t="shared" si="4"/>
        <v>20</v>
      </c>
      <c r="W18" s="188">
        <f t="shared" si="5"/>
        <v>20</v>
      </c>
      <c r="X18" s="195" t="s">
        <v>357</v>
      </c>
      <c r="Y18" s="196" t="s">
        <v>351</v>
      </c>
      <c r="Z18" s="197">
        <v>2010</v>
      </c>
      <c r="AA18" s="195" t="s">
        <v>352</v>
      </c>
      <c r="AB18" s="195"/>
      <c r="AC18" s="188" t="str">
        <f>IFERROR(VLOOKUP(AD18,REFERENSI!$H$5:$I$13,2,FALSE)," ")</f>
        <v xml:space="preserve"> </v>
      </c>
      <c r="AD18" s="195"/>
      <c r="AE18" s="189" t="s">
        <v>412</v>
      </c>
      <c r="AF18" s="195">
        <v>26</v>
      </c>
      <c r="AG18" s="195" t="s">
        <v>326</v>
      </c>
      <c r="AH18" s="208" t="str">
        <f t="shared" si="6"/>
        <v>-</v>
      </c>
      <c r="AI18" s="198" t="str">
        <f t="shared" si="7"/>
        <v xml:space="preserve"> </v>
      </c>
      <c r="AJ18" s="195" t="s">
        <v>352</v>
      </c>
      <c r="AK18" s="195"/>
      <c r="AL18" s="199"/>
      <c r="AM18" s="209" t="s">
        <v>413</v>
      </c>
      <c r="AN18" s="210"/>
      <c r="AO18" s="142"/>
      <c r="BF18" s="203" t="s">
        <v>414</v>
      </c>
      <c r="BG18" s="204">
        <v>1951</v>
      </c>
      <c r="BK18" s="211" t="s">
        <v>415</v>
      </c>
      <c r="BL18" s="212" t="s">
        <v>326</v>
      </c>
    </row>
    <row r="19" s="207" customFormat="1" ht="25" customHeight="1">
      <c r="A19" s="188">
        <v>12</v>
      </c>
      <c r="B19" s="189" t="s">
        <v>416</v>
      </c>
      <c r="C19" s="190" t="str">
        <f>IFERROR(VLOOKUP(B19,REFERENSI!$C$6:$D$15,2,FALSE)," ")</f>
        <v>04</v>
      </c>
      <c r="D19" s="191" t="s">
        <v>325</v>
      </c>
      <c r="E19" s="189" t="s">
        <v>76</v>
      </c>
      <c r="F19" s="190" t="str">
        <f>IFERROR(VLOOKUP(E19,REFERENSI!$F$5:$G$6,2,FALSE)," ")</f>
        <v>01</v>
      </c>
      <c r="G19" s="189" t="s">
        <v>417</v>
      </c>
      <c r="H19" s="192" t="str">
        <f t="shared" si="0"/>
        <v xml:space="preserve">19880112  200807 04 01 01</v>
      </c>
      <c r="I19" s="189" t="s">
        <v>347</v>
      </c>
      <c r="J19" s="193">
        <v>12</v>
      </c>
      <c r="K19" s="193" t="s">
        <v>325</v>
      </c>
      <c r="L19" s="193">
        <v>1988</v>
      </c>
      <c r="M19" s="194" t="str">
        <f t="shared" si="1"/>
        <v>19880112</v>
      </c>
      <c r="N19" s="193" t="s">
        <v>325</v>
      </c>
      <c r="O19" s="193" t="s">
        <v>349</v>
      </c>
      <c r="P19" s="195">
        <v>2008</v>
      </c>
      <c r="Q19" s="193" t="s">
        <v>325</v>
      </c>
      <c r="R19" s="193" t="s">
        <v>349</v>
      </c>
      <c r="S19" s="195">
        <v>2020</v>
      </c>
      <c r="T19" s="188">
        <f t="shared" si="8"/>
        <v>5</v>
      </c>
      <c r="U19" s="188">
        <f t="shared" si="3"/>
        <v>17</v>
      </c>
      <c r="V19" s="188">
        <f t="shared" si="4"/>
        <v>17</v>
      </c>
      <c r="W19" s="188">
        <f t="shared" si="5"/>
        <v>5</v>
      </c>
      <c r="X19" s="195" t="s">
        <v>357</v>
      </c>
      <c r="Y19" s="196" t="s">
        <v>418</v>
      </c>
      <c r="Z19" s="197">
        <v>2013</v>
      </c>
      <c r="AA19" s="195" t="s">
        <v>352</v>
      </c>
      <c r="AB19" s="195"/>
      <c r="AC19" s="188" t="str">
        <f>IFERROR(VLOOKUP(AD19,REFERENSI!$H$5:$I$13,2,FALSE)," ")</f>
        <v xml:space="preserve"> </v>
      </c>
      <c r="AD19" s="195"/>
      <c r="AE19" s="189" t="s">
        <v>419</v>
      </c>
      <c r="AF19" s="195">
        <v>24</v>
      </c>
      <c r="AG19" s="195" t="s">
        <v>326</v>
      </c>
      <c r="AH19" s="208" t="str">
        <f t="shared" si="6"/>
        <v>-</v>
      </c>
      <c r="AI19" s="198" t="str">
        <f t="shared" si="7"/>
        <v xml:space="preserve"> </v>
      </c>
      <c r="AJ19" s="195"/>
      <c r="AK19" s="195"/>
      <c r="AL19" s="199"/>
      <c r="AM19" s="209" t="s">
        <v>420</v>
      </c>
      <c r="AN19" s="210"/>
      <c r="AO19" s="142"/>
      <c r="BF19" s="203" t="s">
        <v>307</v>
      </c>
      <c r="BG19" s="204">
        <v>1952</v>
      </c>
      <c r="BK19" s="207" t="s">
        <v>326</v>
      </c>
      <c r="BL19" s="207" t="s">
        <v>326</v>
      </c>
    </row>
    <row r="20" s="207" customFormat="1" ht="25" customHeight="1">
      <c r="A20" s="188">
        <v>14</v>
      </c>
      <c r="B20" s="189" t="s">
        <v>395</v>
      </c>
      <c r="C20" s="190" t="str">
        <f>IFERROR(VLOOKUP(B20,REFERENSI!$C$6:$D$15,2,FALSE)," ")</f>
        <v>03</v>
      </c>
      <c r="D20" s="191" t="s">
        <v>325</v>
      </c>
      <c r="E20" s="189" t="s">
        <v>76</v>
      </c>
      <c r="F20" s="190" t="str">
        <f>IFERROR(VLOOKUP(E20,REFERENSI!$F$5:$G$6,2,FALSE)," ")</f>
        <v>01</v>
      </c>
      <c r="G20" s="189" t="s">
        <v>421</v>
      </c>
      <c r="H20" s="192" t="str">
        <f t="shared" si="0"/>
        <v xml:space="preserve">19890205  201110 03 01 01</v>
      </c>
      <c r="I20" s="189" t="s">
        <v>347</v>
      </c>
      <c r="J20" s="193" t="s">
        <v>368</v>
      </c>
      <c r="K20" s="193" t="s">
        <v>343</v>
      </c>
      <c r="L20" s="193">
        <v>1989</v>
      </c>
      <c r="M20" s="194" t="str">
        <f t="shared" si="1"/>
        <v>19890205</v>
      </c>
      <c r="N20" s="193" t="s">
        <v>325</v>
      </c>
      <c r="O20" s="193">
        <v>10</v>
      </c>
      <c r="P20" s="195">
        <v>2011</v>
      </c>
      <c r="Q20" s="193" t="s">
        <v>325</v>
      </c>
      <c r="R20" s="193">
        <v>10</v>
      </c>
      <c r="S20" s="195">
        <v>2011</v>
      </c>
      <c r="T20" s="188">
        <f t="shared" si="8"/>
        <v>14</v>
      </c>
      <c r="U20" s="188">
        <f t="shared" si="3"/>
        <v>14</v>
      </c>
      <c r="V20" s="188">
        <f t="shared" si="4"/>
        <v>14</v>
      </c>
      <c r="W20" s="188">
        <f t="shared" si="5"/>
        <v>14</v>
      </c>
      <c r="X20" s="195" t="s">
        <v>357</v>
      </c>
      <c r="Y20" s="196" t="s">
        <v>418</v>
      </c>
      <c r="Z20" s="197">
        <v>2012</v>
      </c>
      <c r="AA20" s="195" t="s">
        <v>352</v>
      </c>
      <c r="AB20" s="195"/>
      <c r="AC20" s="188" t="str">
        <f>IFERROR(VLOOKUP(AD20,REFERENSI!$H$5:$I$13,2,FALSE)," ")</f>
        <v xml:space="preserve"> </v>
      </c>
      <c r="AD20" s="195"/>
      <c r="AE20" s="189"/>
      <c r="AF20" s="195"/>
      <c r="AG20" s="195" t="s">
        <v>326</v>
      </c>
      <c r="AH20" s="208" t="str">
        <f t="shared" si="6"/>
        <v>-</v>
      </c>
      <c r="AI20" s="198" t="str">
        <f t="shared" si="7"/>
        <v xml:space="preserve"> </v>
      </c>
      <c r="AJ20" s="195" t="s">
        <v>352</v>
      </c>
      <c r="AK20" s="195"/>
      <c r="AL20" s="199"/>
      <c r="AM20" s="209" t="s">
        <v>422</v>
      </c>
      <c r="AN20" s="210"/>
      <c r="AO20" s="142"/>
      <c r="BF20" s="203" t="s">
        <v>423</v>
      </c>
      <c r="BG20" s="204">
        <v>1954</v>
      </c>
    </row>
    <row r="21" s="207" customFormat="1" ht="25" customHeight="1">
      <c r="A21" s="188">
        <v>17</v>
      </c>
      <c r="B21" s="189" t="s">
        <v>395</v>
      </c>
      <c r="C21" s="190" t="str">
        <f>IFERROR(VLOOKUP(B21,REFERENSI!$C$6:$D$15,2,FALSE)," ")</f>
        <v>03</v>
      </c>
      <c r="D21" s="191" t="s">
        <v>325</v>
      </c>
      <c r="E21" s="189" t="s">
        <v>76</v>
      </c>
      <c r="F21" s="190" t="str">
        <f>IFERROR(VLOOKUP(E21,REFERENSI!$F$5:$G$6,2,FALSE)," ")</f>
        <v>01</v>
      </c>
      <c r="G21" s="189" t="s">
        <v>424</v>
      </c>
      <c r="H21" s="192" t="str">
        <f t="shared" si="0"/>
        <v xml:space="preserve">19851031  201001 03 01 01</v>
      </c>
      <c r="I21" s="189" t="s">
        <v>347</v>
      </c>
      <c r="J21" s="193">
        <v>31</v>
      </c>
      <c r="K21" s="193">
        <v>10</v>
      </c>
      <c r="L21" s="193">
        <v>1985</v>
      </c>
      <c r="M21" s="194" t="str">
        <f t="shared" si="1"/>
        <v>19851031</v>
      </c>
      <c r="N21" s="193" t="s">
        <v>325</v>
      </c>
      <c r="O21" s="193" t="s">
        <v>325</v>
      </c>
      <c r="P21" s="195">
        <v>2010</v>
      </c>
      <c r="Q21" s="193" t="s">
        <v>325</v>
      </c>
      <c r="R21" s="193" t="s">
        <v>325</v>
      </c>
      <c r="S21" s="195">
        <v>2010</v>
      </c>
      <c r="T21" s="188">
        <f t="shared" si="8"/>
        <v>15</v>
      </c>
      <c r="U21" s="188">
        <f t="shared" si="3"/>
        <v>15</v>
      </c>
      <c r="V21" s="188">
        <f t="shared" si="4"/>
        <v>15</v>
      </c>
      <c r="W21" s="188">
        <f t="shared" si="5"/>
        <v>15</v>
      </c>
      <c r="X21" s="195" t="s">
        <v>357</v>
      </c>
      <c r="Y21" s="196" t="s">
        <v>351</v>
      </c>
      <c r="Z21" s="197">
        <v>2012</v>
      </c>
      <c r="AA21" s="195" t="s">
        <v>352</v>
      </c>
      <c r="AB21" s="195"/>
      <c r="AC21" s="188" t="str">
        <f>IFERROR(VLOOKUP(AD21,REFERENSI!$H$5:$I$13,2,FALSE)," ")</f>
        <v xml:space="preserve"> </v>
      </c>
      <c r="AD21" s="195"/>
      <c r="AE21" s="189" t="s">
        <v>425</v>
      </c>
      <c r="AF21" s="195">
        <v>24</v>
      </c>
      <c r="AG21" s="195" t="s">
        <v>326</v>
      </c>
      <c r="AH21" s="208" t="str">
        <f t="shared" si="6"/>
        <v>-</v>
      </c>
      <c r="AI21" s="198" t="str">
        <f t="shared" si="7"/>
        <v xml:space="preserve"> </v>
      </c>
      <c r="AJ21" s="195" t="s">
        <v>358</v>
      </c>
      <c r="AK21" s="195">
        <v>2009</v>
      </c>
      <c r="AL21" s="209" t="s">
        <v>383</v>
      </c>
      <c r="AM21" s="209" t="s">
        <v>426</v>
      </c>
      <c r="AN21" s="210"/>
      <c r="AO21" s="142"/>
      <c r="BF21" s="203" t="s">
        <v>427</v>
      </c>
      <c r="BG21" s="204">
        <v>1957</v>
      </c>
    </row>
    <row r="22" s="207" customFormat="1" ht="25" customHeight="1">
      <c r="A22" s="188">
        <v>19</v>
      </c>
      <c r="B22" s="189" t="s">
        <v>395</v>
      </c>
      <c r="C22" s="190" t="str">
        <f>IFERROR(VLOOKUP(B22,REFERENSI!$C$6:$D$15,2,FALSE)," ")</f>
        <v>03</v>
      </c>
      <c r="D22" s="191">
        <v>81</v>
      </c>
      <c r="E22" s="189" t="s">
        <v>76</v>
      </c>
      <c r="F22" s="190" t="str">
        <f>IFERROR(VLOOKUP(E22,REFERENSI!$F$5:$G$6,2,FALSE)," ")</f>
        <v>01</v>
      </c>
      <c r="G22" s="189" t="s">
        <v>428</v>
      </c>
      <c r="H22" s="192" t="str">
        <f t="shared" si="0"/>
        <v xml:space="preserve">19800506  200407 03 01 81</v>
      </c>
      <c r="I22" s="189" t="s">
        <v>429</v>
      </c>
      <c r="J22" s="193" t="s">
        <v>373</v>
      </c>
      <c r="K22" s="193" t="s">
        <v>368</v>
      </c>
      <c r="L22" s="193">
        <v>1980</v>
      </c>
      <c r="M22" s="194" t="str">
        <f t="shared" si="1"/>
        <v>19800506</v>
      </c>
      <c r="N22" s="193">
        <v>18</v>
      </c>
      <c r="O22" s="193" t="s">
        <v>349</v>
      </c>
      <c r="P22" s="195">
        <v>2004</v>
      </c>
      <c r="Q22" s="193">
        <v>18</v>
      </c>
      <c r="R22" s="193" t="s">
        <v>349</v>
      </c>
      <c r="S22" s="195">
        <v>2004</v>
      </c>
      <c r="T22" s="188">
        <f t="shared" si="8"/>
        <v>21</v>
      </c>
      <c r="U22" s="188">
        <f t="shared" si="3"/>
        <v>21</v>
      </c>
      <c r="V22" s="188">
        <f t="shared" si="4"/>
        <v>21</v>
      </c>
      <c r="W22" s="188">
        <f t="shared" si="5"/>
        <v>21</v>
      </c>
      <c r="X22" s="195" t="s">
        <v>357</v>
      </c>
      <c r="Y22" s="196" t="s">
        <v>351</v>
      </c>
      <c r="Z22" s="197">
        <v>2004</v>
      </c>
      <c r="AA22" s="195" t="s">
        <v>352</v>
      </c>
      <c r="AB22" s="195"/>
      <c r="AC22" s="188" t="str">
        <f>IFERROR(VLOOKUP(AD22,REFERENSI!$H$5:$I$13,2,FALSE)," ")</f>
        <v xml:space="preserve"> </v>
      </c>
      <c r="AD22" s="195"/>
      <c r="AE22" s="189"/>
      <c r="AF22" s="195">
        <v>25</v>
      </c>
      <c r="AG22" s="195" t="s">
        <v>326</v>
      </c>
      <c r="AH22" s="208" t="str">
        <f t="shared" si="6"/>
        <v>-</v>
      </c>
      <c r="AI22" s="198" t="str">
        <f t="shared" si="7"/>
        <v xml:space="preserve"> </v>
      </c>
      <c r="AJ22" s="195" t="s">
        <v>358</v>
      </c>
      <c r="AK22" s="195">
        <v>2009</v>
      </c>
      <c r="AL22" s="209" t="s">
        <v>430</v>
      </c>
      <c r="AM22" s="209" t="s">
        <v>431</v>
      </c>
      <c r="AN22" s="210"/>
      <c r="AO22" s="142"/>
      <c r="BF22" s="203" t="s">
        <v>432</v>
      </c>
      <c r="BG22" s="204">
        <v>1959</v>
      </c>
    </row>
    <row r="23" s="207" customFormat="1" ht="25" customHeight="1">
      <c r="A23" s="188">
        <v>20</v>
      </c>
      <c r="B23" s="189" t="s">
        <v>395</v>
      </c>
      <c r="C23" s="190" t="str">
        <f>IFERROR(VLOOKUP(B23,REFERENSI!$C$6:$D$15,2,FALSE)," ")</f>
        <v>03</v>
      </c>
      <c r="D23" s="191" t="s">
        <v>325</v>
      </c>
      <c r="E23" s="189" t="s">
        <v>76</v>
      </c>
      <c r="F23" s="190" t="str">
        <f>IFERROR(VLOOKUP(E23,REFERENSI!$F$5:$G$6,2,FALSE)," ")</f>
        <v>01</v>
      </c>
      <c r="G23" s="189" t="s">
        <v>433</v>
      </c>
      <c r="H23" s="192" t="str">
        <f t="shared" si="0"/>
        <v xml:space="preserve">19861005  200509 03 01 01</v>
      </c>
      <c r="I23" s="189" t="s">
        <v>347</v>
      </c>
      <c r="J23" s="193" t="s">
        <v>368</v>
      </c>
      <c r="K23" s="193">
        <v>10</v>
      </c>
      <c r="L23" s="193">
        <v>1986</v>
      </c>
      <c r="M23" s="194" t="str">
        <f t="shared" si="1"/>
        <v>19861005</v>
      </c>
      <c r="N23" s="193" t="s">
        <v>325</v>
      </c>
      <c r="O23" s="193" t="s">
        <v>393</v>
      </c>
      <c r="P23" s="195">
        <v>2005</v>
      </c>
      <c r="Q23" s="193" t="s">
        <v>325</v>
      </c>
      <c r="R23" s="193" t="s">
        <v>393</v>
      </c>
      <c r="S23" s="195">
        <v>2005</v>
      </c>
      <c r="T23" s="188">
        <f t="shared" si="8"/>
        <v>20</v>
      </c>
      <c r="U23" s="188">
        <f t="shared" si="3"/>
        <v>20</v>
      </c>
      <c r="V23" s="188">
        <f t="shared" si="4"/>
        <v>20</v>
      </c>
      <c r="W23" s="188">
        <f t="shared" si="5"/>
        <v>20</v>
      </c>
      <c r="X23" s="195" t="s">
        <v>357</v>
      </c>
      <c r="Y23" s="196" t="s">
        <v>351</v>
      </c>
      <c r="Z23" s="197">
        <v>2005</v>
      </c>
      <c r="AA23" s="195" t="s">
        <v>352</v>
      </c>
      <c r="AB23" s="195"/>
      <c r="AC23" s="188" t="str">
        <f>IFERROR(VLOOKUP(AD23,REFERENSI!$H$5:$I$13,2,FALSE)," ")</f>
        <v xml:space="preserve"> </v>
      </c>
      <c r="AD23" s="195"/>
      <c r="AE23" s="189"/>
      <c r="AF23" s="195"/>
      <c r="AG23" s="195" t="s">
        <v>326</v>
      </c>
      <c r="AH23" s="208" t="str">
        <f t="shared" si="6"/>
        <v>-</v>
      </c>
      <c r="AI23" s="198" t="str">
        <f t="shared" si="7"/>
        <v xml:space="preserve"> </v>
      </c>
      <c r="AJ23" s="195"/>
      <c r="AK23" s="195"/>
      <c r="AL23" s="199"/>
      <c r="AM23" s="199"/>
      <c r="AN23" s="201"/>
      <c r="AO23" s="142"/>
      <c r="BF23" s="203" t="s">
        <v>434</v>
      </c>
      <c r="BG23" s="204">
        <v>1961</v>
      </c>
    </row>
    <row r="24" s="207" customFormat="1" ht="25" customHeight="1">
      <c r="A24" s="188">
        <v>21</v>
      </c>
      <c r="B24" s="189" t="s">
        <v>395</v>
      </c>
      <c r="C24" s="190" t="str">
        <f>IFERROR(VLOOKUP(B24,REFERENSI!$C$6:$D$15,2,FALSE)," ")</f>
        <v>03</v>
      </c>
      <c r="D24" s="191">
        <v>66</v>
      </c>
      <c r="E24" s="189" t="s">
        <v>76</v>
      </c>
      <c r="F24" s="190" t="str">
        <f>IFERROR(VLOOKUP(E24,REFERENSI!$F$5:$G$6,2,FALSE)," ")</f>
        <v>01</v>
      </c>
      <c r="G24" s="189" t="s">
        <v>435</v>
      </c>
      <c r="H24" s="192" t="str">
        <f t="shared" si="0"/>
        <v xml:space="preserve">19730301  200007 03 01 66</v>
      </c>
      <c r="I24" s="189" t="s">
        <v>347</v>
      </c>
      <c r="J24" s="193" t="s">
        <v>325</v>
      </c>
      <c r="K24" s="193" t="s">
        <v>354</v>
      </c>
      <c r="L24" s="193">
        <v>1973</v>
      </c>
      <c r="M24" s="194" t="str">
        <f t="shared" si="1"/>
        <v>19730301</v>
      </c>
      <c r="N24" s="193" t="s">
        <v>325</v>
      </c>
      <c r="O24" s="193" t="s">
        <v>349</v>
      </c>
      <c r="P24" s="195">
        <v>2000</v>
      </c>
      <c r="Q24" s="193" t="s">
        <v>325</v>
      </c>
      <c r="R24" s="193" t="s">
        <v>349</v>
      </c>
      <c r="S24" s="195">
        <v>2000</v>
      </c>
      <c r="T24" s="188">
        <f t="shared" si="8"/>
        <v>25</v>
      </c>
      <c r="U24" s="188">
        <f t="shared" si="3"/>
        <v>25</v>
      </c>
      <c r="V24" s="188">
        <f t="shared" si="4"/>
        <v>25</v>
      </c>
      <c r="W24" s="188">
        <f t="shared" si="5"/>
        <v>25</v>
      </c>
      <c r="X24" s="195" t="s">
        <v>357</v>
      </c>
      <c r="Y24" s="196" t="s">
        <v>436</v>
      </c>
      <c r="Z24" s="197"/>
      <c r="AA24" s="195" t="s">
        <v>358</v>
      </c>
      <c r="AB24" s="195"/>
      <c r="AC24" s="188" t="str">
        <f>IFERROR(VLOOKUP(AD24,REFERENSI!$H$5:$I$13,2,FALSE)," ")</f>
        <v xml:space="preserve"> </v>
      </c>
      <c r="AD24" s="195"/>
      <c r="AE24" s="189"/>
      <c r="AF24" s="195">
        <v>26</v>
      </c>
      <c r="AG24" s="195" t="s">
        <v>326</v>
      </c>
      <c r="AH24" s="208" t="str">
        <f t="shared" si="6"/>
        <v>-</v>
      </c>
      <c r="AI24" s="198" t="str">
        <f t="shared" si="7"/>
        <v xml:space="preserve"> </v>
      </c>
      <c r="AJ24" s="195"/>
      <c r="AK24" s="195"/>
      <c r="AL24" s="199"/>
      <c r="AM24" s="199"/>
      <c r="AN24" s="201"/>
      <c r="AO24" s="142"/>
      <c r="BF24" s="203" t="s">
        <v>437</v>
      </c>
      <c r="BG24" s="204">
        <v>1962</v>
      </c>
    </row>
    <row r="25" s="207" customFormat="1" ht="25" customHeight="1">
      <c r="A25" s="188">
        <v>22</v>
      </c>
      <c r="B25" s="189" t="s">
        <v>416</v>
      </c>
      <c r="C25" s="190" t="str">
        <f>IFERROR(VLOOKUP(B25,REFERENSI!$C$6:$D$15,2,FALSE)," ")</f>
        <v>04</v>
      </c>
      <c r="D25" s="191">
        <v>57</v>
      </c>
      <c r="E25" s="189" t="s">
        <v>344</v>
      </c>
      <c r="F25" s="190" t="str">
        <f>IFERROR(VLOOKUP(E25,REFERENSI!$F$5:$G$6,2,FALSE)," ")</f>
        <v xml:space="preserve"> </v>
      </c>
      <c r="G25" s="189" t="s">
        <v>438</v>
      </c>
      <c r="H25" s="192" t="str">
        <f t="shared" si="0"/>
        <v xml:space="preserve">19860214  201407 04   57</v>
      </c>
      <c r="I25" s="189" t="s">
        <v>347</v>
      </c>
      <c r="J25" s="193">
        <v>14</v>
      </c>
      <c r="K25" s="193" t="s">
        <v>343</v>
      </c>
      <c r="L25" s="193">
        <v>1986</v>
      </c>
      <c r="M25" s="194" t="str">
        <f t="shared" si="1"/>
        <v>19860214</v>
      </c>
      <c r="N25" s="193" t="s">
        <v>427</v>
      </c>
      <c r="O25" s="193" t="s">
        <v>349</v>
      </c>
      <c r="P25" s="195">
        <v>2014</v>
      </c>
      <c r="Q25" s="193" t="s">
        <v>427</v>
      </c>
      <c r="R25" s="193" t="s">
        <v>349</v>
      </c>
      <c r="S25" s="195">
        <v>2014</v>
      </c>
      <c r="T25" s="188">
        <f t="shared" si="8"/>
        <v>11</v>
      </c>
      <c r="U25" s="188">
        <f t="shared" si="3"/>
        <v>11</v>
      </c>
      <c r="V25" s="188">
        <f t="shared" si="4"/>
        <v>11</v>
      </c>
      <c r="W25" s="188">
        <f t="shared" si="5"/>
        <v>11</v>
      </c>
      <c r="X25" s="195" t="s">
        <v>357</v>
      </c>
      <c r="Y25" s="196" t="s">
        <v>439</v>
      </c>
      <c r="Z25" s="197">
        <v>2013</v>
      </c>
      <c r="AA25" s="195" t="s">
        <v>352</v>
      </c>
      <c r="AB25" s="195"/>
      <c r="AC25" s="188" t="str">
        <f>IFERROR(VLOOKUP(AD25,REFERENSI!$H$5:$I$13,2,FALSE)," ")</f>
        <v xml:space="preserve"> </v>
      </c>
      <c r="AD25" s="195"/>
      <c r="AE25" s="189" t="s">
        <v>440</v>
      </c>
      <c r="AF25" s="195"/>
      <c r="AG25" s="195" t="s">
        <v>344</v>
      </c>
      <c r="AH25" s="208">
        <f t="shared" si="6"/>
        <v>18</v>
      </c>
      <c r="AI25" s="198">
        <f t="shared" si="7"/>
        <v>18</v>
      </c>
      <c r="AJ25" s="195" t="s">
        <v>352</v>
      </c>
      <c r="AK25" s="195"/>
      <c r="AL25" s="199"/>
      <c r="AM25" s="213" t="s">
        <v>441</v>
      </c>
      <c r="AN25" s="214"/>
      <c r="AO25" s="142"/>
      <c r="BF25" s="203" t="s">
        <v>442</v>
      </c>
      <c r="BG25" s="204">
        <v>1963</v>
      </c>
    </row>
    <row r="26" s="207" customFormat="1" ht="25" customHeight="1">
      <c r="A26" s="188">
        <v>23</v>
      </c>
      <c r="B26" s="189" t="s">
        <v>416</v>
      </c>
      <c r="C26" s="190" t="str">
        <f>IFERROR(VLOOKUP(B26,REFERENSI!$C$6:$D$15,2,FALSE)," ")</f>
        <v>04</v>
      </c>
      <c r="D26" s="191">
        <v>26</v>
      </c>
      <c r="E26" s="189" t="s">
        <v>76</v>
      </c>
      <c r="F26" s="190" t="str">
        <f>IFERROR(VLOOKUP(E26,REFERENSI!$F$5:$G$6,2,FALSE)," ")</f>
        <v>01</v>
      </c>
      <c r="G26" s="189" t="s">
        <v>443</v>
      </c>
      <c r="H26" s="192" t="str">
        <f t="shared" si="0"/>
        <v xml:space="preserve">19891129  201007 04 01 26</v>
      </c>
      <c r="I26" s="189" t="s">
        <v>347</v>
      </c>
      <c r="J26" s="193">
        <v>29</v>
      </c>
      <c r="K26" s="193">
        <v>11</v>
      </c>
      <c r="L26" s="193">
        <v>1989</v>
      </c>
      <c r="M26" s="194" t="str">
        <f t="shared" si="1"/>
        <v>19891129</v>
      </c>
      <c r="N26" s="193">
        <v>12</v>
      </c>
      <c r="O26" s="193" t="s">
        <v>349</v>
      </c>
      <c r="P26" s="195">
        <v>2010</v>
      </c>
      <c r="Q26" s="193">
        <v>12</v>
      </c>
      <c r="R26" s="193" t="s">
        <v>349</v>
      </c>
      <c r="S26" s="195">
        <v>2010</v>
      </c>
      <c r="T26" s="188">
        <f t="shared" si="8"/>
        <v>15</v>
      </c>
      <c r="U26" s="188">
        <f t="shared" si="3"/>
        <v>15</v>
      </c>
      <c r="V26" s="188">
        <f t="shared" si="4"/>
        <v>15</v>
      </c>
      <c r="W26" s="188">
        <f t="shared" si="5"/>
        <v>15</v>
      </c>
      <c r="X26" s="195" t="s">
        <v>357</v>
      </c>
      <c r="Y26" s="196" t="s">
        <v>444</v>
      </c>
      <c r="Z26" s="197">
        <v>2015</v>
      </c>
      <c r="AA26" s="195" t="s">
        <v>352</v>
      </c>
      <c r="AB26" s="195"/>
      <c r="AC26" s="188" t="str">
        <f>IFERROR(VLOOKUP(AD26,REFERENSI!$H$5:$I$13,2,FALSE)," ")</f>
        <v xml:space="preserve"> </v>
      </c>
      <c r="AD26" s="195"/>
      <c r="AE26" s="189" t="s">
        <v>440</v>
      </c>
      <c r="AF26" s="195">
        <v>7</v>
      </c>
      <c r="AG26" s="195" t="s">
        <v>415</v>
      </c>
      <c r="AH26" s="208" t="str">
        <f t="shared" si="6"/>
        <v>-</v>
      </c>
      <c r="AI26" s="198" t="str">
        <f t="shared" si="7"/>
        <v xml:space="preserve"> </v>
      </c>
      <c r="AJ26" s="195" t="s">
        <v>352</v>
      </c>
      <c r="AK26" s="195" t="s">
        <v>326</v>
      </c>
      <c r="AL26" s="199" t="s">
        <v>326</v>
      </c>
      <c r="AM26" s="213" t="s">
        <v>445</v>
      </c>
      <c r="AN26" s="214"/>
      <c r="AO26" s="142"/>
      <c r="BF26" s="203" t="s">
        <v>446</v>
      </c>
      <c r="BG26" s="204">
        <v>1964</v>
      </c>
    </row>
    <row r="27" s="207" customFormat="1" ht="25" customHeight="1">
      <c r="A27" s="188">
        <v>24</v>
      </c>
      <c r="B27" s="189" t="s">
        <v>416</v>
      </c>
      <c r="C27" s="190" t="str">
        <f>IFERROR(VLOOKUP(B27,REFERENSI!$C$6:$D$15,2,FALSE)," ")</f>
        <v>04</v>
      </c>
      <c r="D27" s="191">
        <v>95</v>
      </c>
      <c r="E27" s="189" t="s">
        <v>76</v>
      </c>
      <c r="F27" s="190" t="str">
        <f>IFERROR(VLOOKUP(E27,REFERENSI!$F$5:$G$6,2,FALSE)," ")</f>
        <v>01</v>
      </c>
      <c r="G27" s="189" t="s">
        <v>447</v>
      </c>
      <c r="H27" s="192" t="str">
        <f t="shared" si="0"/>
        <v xml:space="preserve">19830428  200507 04 01 95</v>
      </c>
      <c r="I27" s="189" t="s">
        <v>347</v>
      </c>
      <c r="J27" s="193">
        <v>28</v>
      </c>
      <c r="K27" s="193" t="s">
        <v>348</v>
      </c>
      <c r="L27" s="193">
        <v>1983</v>
      </c>
      <c r="M27" s="194" t="str">
        <f t="shared" si="1"/>
        <v>19830428</v>
      </c>
      <c r="N27" s="193">
        <v>18</v>
      </c>
      <c r="O27" s="193" t="s">
        <v>349</v>
      </c>
      <c r="P27" s="195">
        <v>2005</v>
      </c>
      <c r="Q27" s="193">
        <v>18</v>
      </c>
      <c r="R27" s="193" t="s">
        <v>349</v>
      </c>
      <c r="S27" s="195">
        <v>2005</v>
      </c>
      <c r="T27" s="188">
        <f t="shared" si="8"/>
        <v>20</v>
      </c>
      <c r="U27" s="188">
        <f t="shared" si="3"/>
        <v>20</v>
      </c>
      <c r="V27" s="188">
        <f t="shared" si="4"/>
        <v>20</v>
      </c>
      <c r="W27" s="188">
        <f t="shared" si="5"/>
        <v>20</v>
      </c>
      <c r="X27" s="195" t="s">
        <v>357</v>
      </c>
      <c r="Y27" s="196" t="s">
        <v>444</v>
      </c>
      <c r="Z27" s="197">
        <v>2016</v>
      </c>
      <c r="AA27" s="195" t="s">
        <v>352</v>
      </c>
      <c r="AB27" s="195"/>
      <c r="AC27" s="188" t="str">
        <f>IFERROR(VLOOKUP(AD27,REFERENSI!$H$5:$I$13,2,FALSE)," ")</f>
        <v xml:space="preserve"> </v>
      </c>
      <c r="AD27" s="195"/>
      <c r="AE27" s="189" t="s">
        <v>448</v>
      </c>
      <c r="AF27" s="195"/>
      <c r="AG27" s="195" t="s">
        <v>355</v>
      </c>
      <c r="AH27" s="208">
        <f t="shared" si="6"/>
        <v>12</v>
      </c>
      <c r="AI27" s="198">
        <f t="shared" si="7"/>
        <v>12</v>
      </c>
      <c r="AJ27" s="195" t="s">
        <v>358</v>
      </c>
      <c r="AK27" s="195">
        <v>2014</v>
      </c>
      <c r="AL27" s="199"/>
      <c r="AM27" s="213" t="s">
        <v>449</v>
      </c>
      <c r="AN27" s="214"/>
      <c r="AO27" s="142"/>
      <c r="BF27" s="203" t="s">
        <v>450</v>
      </c>
      <c r="BG27" s="204">
        <v>1965</v>
      </c>
    </row>
    <row r="28" s="207" customFormat="1" ht="25" customHeight="1">
      <c r="A28" s="188">
        <v>25</v>
      </c>
      <c r="B28" s="189" t="s">
        <v>416</v>
      </c>
      <c r="C28" s="190" t="str">
        <f>IFERROR(VLOOKUP(B28,REFERENSI!$C$6:$D$15,2,FALSE)," ")</f>
        <v>04</v>
      </c>
      <c r="D28" s="191">
        <v>95</v>
      </c>
      <c r="E28" s="189" t="s">
        <v>76</v>
      </c>
      <c r="F28" s="190" t="str">
        <f>IFERROR(VLOOKUP(E28,REFERENSI!$F$5:$G$6,2,FALSE)," ")</f>
        <v>01</v>
      </c>
      <c r="G28" s="189" t="s">
        <v>451</v>
      </c>
      <c r="H28" s="192" t="str">
        <f t="shared" si="0"/>
        <v xml:space="preserve">19771010  200507 04 01 95</v>
      </c>
      <c r="I28" s="189" t="s">
        <v>452</v>
      </c>
      <c r="J28" s="193">
        <v>10</v>
      </c>
      <c r="K28" s="193">
        <v>10</v>
      </c>
      <c r="L28" s="193">
        <v>1977</v>
      </c>
      <c r="M28" s="194" t="str">
        <f t="shared" si="1"/>
        <v>19771010</v>
      </c>
      <c r="N28" s="193">
        <v>16</v>
      </c>
      <c r="O28" s="193" t="s">
        <v>349</v>
      </c>
      <c r="P28" s="195">
        <v>2005</v>
      </c>
      <c r="Q28" s="193" t="s">
        <v>427</v>
      </c>
      <c r="R28" s="193" t="s">
        <v>349</v>
      </c>
      <c r="S28" s="195">
        <v>2005</v>
      </c>
      <c r="T28" s="188">
        <f t="shared" si="8"/>
        <v>20</v>
      </c>
      <c r="U28" s="188">
        <f t="shared" si="3"/>
        <v>20</v>
      </c>
      <c r="V28" s="188">
        <f t="shared" si="4"/>
        <v>20</v>
      </c>
      <c r="W28" s="188">
        <f t="shared" si="5"/>
        <v>20</v>
      </c>
      <c r="X28" s="195" t="s">
        <v>357</v>
      </c>
      <c r="Y28" s="196" t="s">
        <v>453</v>
      </c>
      <c r="Z28" s="197">
        <v>2005</v>
      </c>
      <c r="AA28" s="195" t="s">
        <v>352</v>
      </c>
      <c r="AB28" s="195"/>
      <c r="AC28" s="188" t="str">
        <f>IFERROR(VLOOKUP(AD28,REFERENSI!$H$5:$I$13,2,FALSE)," ")</f>
        <v xml:space="preserve"> </v>
      </c>
      <c r="AD28" s="195"/>
      <c r="AE28" s="189" t="s">
        <v>454</v>
      </c>
      <c r="AF28" s="195"/>
      <c r="AG28" s="195" t="s">
        <v>369</v>
      </c>
      <c r="AH28" s="208">
        <f t="shared" si="6"/>
        <v>12</v>
      </c>
      <c r="AI28" s="198">
        <f t="shared" si="7"/>
        <v>12</v>
      </c>
      <c r="AJ28" s="195" t="s">
        <v>358</v>
      </c>
      <c r="AK28" s="195">
        <v>2013</v>
      </c>
      <c r="AL28" s="215" t="s">
        <v>455</v>
      </c>
      <c r="AM28" s="213" t="s">
        <v>456</v>
      </c>
      <c r="AN28" s="214"/>
      <c r="AO28" s="142"/>
      <c r="BF28" s="203" t="s">
        <v>457</v>
      </c>
      <c r="BG28" s="204">
        <v>1966</v>
      </c>
    </row>
    <row r="29" s="207" customFormat="1" ht="25" customHeight="1">
      <c r="A29" s="188">
        <v>26</v>
      </c>
      <c r="B29" s="189" t="s">
        <v>416</v>
      </c>
      <c r="C29" s="190" t="str">
        <f>IFERROR(VLOOKUP(B29,REFERENSI!$C$6:$D$15,2,FALSE)," ")</f>
        <v>04</v>
      </c>
      <c r="D29" s="191">
        <v>62</v>
      </c>
      <c r="E29" s="189" t="s">
        <v>76</v>
      </c>
      <c r="F29" s="190" t="str">
        <f>IFERROR(VLOOKUP(E29,REFERENSI!$F$5:$G$6,2,FALSE)," ")</f>
        <v>01</v>
      </c>
      <c r="G29" s="189" t="s">
        <v>458</v>
      </c>
      <c r="H29" s="192" t="str">
        <f t="shared" si="0"/>
        <v xml:space="preserve">19700709  199307 04 01 62</v>
      </c>
      <c r="I29" s="189" t="s">
        <v>347</v>
      </c>
      <c r="J29" s="193" t="s">
        <v>393</v>
      </c>
      <c r="K29" s="193" t="s">
        <v>349</v>
      </c>
      <c r="L29" s="193">
        <v>1970</v>
      </c>
      <c r="M29" s="194" t="str">
        <f t="shared" si="1"/>
        <v>19700709</v>
      </c>
      <c r="N29" s="193">
        <v>16</v>
      </c>
      <c r="O29" s="193" t="s">
        <v>349</v>
      </c>
      <c r="P29" s="195">
        <v>1993</v>
      </c>
      <c r="Q29" s="193">
        <v>16</v>
      </c>
      <c r="R29" s="193" t="s">
        <v>349</v>
      </c>
      <c r="S29" s="195">
        <v>1993</v>
      </c>
      <c r="T29" s="188">
        <f t="shared" si="8"/>
        <v>32</v>
      </c>
      <c r="U29" s="188">
        <f t="shared" si="3"/>
        <v>32</v>
      </c>
      <c r="V29" s="188">
        <f t="shared" si="4"/>
        <v>32</v>
      </c>
      <c r="W29" s="188">
        <f t="shared" si="5"/>
        <v>32</v>
      </c>
      <c r="X29" s="195" t="s">
        <v>357</v>
      </c>
      <c r="Y29" s="196" t="s">
        <v>444</v>
      </c>
      <c r="Z29" s="197">
        <v>1993</v>
      </c>
      <c r="AA29" s="195" t="s">
        <v>358</v>
      </c>
      <c r="AB29" s="195"/>
      <c r="AC29" s="188" t="str">
        <f>IFERROR(VLOOKUP(AD29,REFERENSI!$H$5:$I$13,2,FALSE)," ")</f>
        <v xml:space="preserve"> </v>
      </c>
      <c r="AD29" s="195"/>
      <c r="AE29" s="189" t="s">
        <v>459</v>
      </c>
      <c r="AF29" s="195"/>
      <c r="AG29" s="195" t="s">
        <v>374</v>
      </c>
      <c r="AH29" s="208">
        <f t="shared" si="6"/>
        <v>12</v>
      </c>
      <c r="AI29" s="198">
        <f t="shared" si="7"/>
        <v>12</v>
      </c>
      <c r="AJ29" s="195" t="s">
        <v>358</v>
      </c>
      <c r="AK29" s="195">
        <v>2009</v>
      </c>
      <c r="AL29" s="215" t="s">
        <v>460</v>
      </c>
      <c r="AM29" s="213" t="s">
        <v>461</v>
      </c>
      <c r="AN29" s="214"/>
      <c r="AO29" s="142"/>
      <c r="BF29" s="203" t="s">
        <v>462</v>
      </c>
      <c r="BG29" s="204">
        <v>1967</v>
      </c>
    </row>
    <row r="30" s="207" customFormat="1" ht="25" customHeight="1">
      <c r="A30" s="188">
        <v>27</v>
      </c>
      <c r="B30" s="189" t="s">
        <v>416</v>
      </c>
      <c r="C30" s="190" t="str">
        <f>IFERROR(VLOOKUP(B30,REFERENSI!$C$6:$D$15,2,FALSE)," ")</f>
        <v>04</v>
      </c>
      <c r="D30" s="191">
        <v>65</v>
      </c>
      <c r="E30" s="189" t="s">
        <v>76</v>
      </c>
      <c r="F30" s="190" t="str">
        <f>IFERROR(VLOOKUP(E30,REFERENSI!$F$5:$G$6,2,FALSE)," ")</f>
        <v>01</v>
      </c>
      <c r="G30" s="189" t="s">
        <v>463</v>
      </c>
      <c r="H30" s="192" t="str">
        <f t="shared" si="0"/>
        <v xml:space="preserve">19651119  199407 04 01 65</v>
      </c>
      <c r="I30" s="189" t="s">
        <v>347</v>
      </c>
      <c r="J30" s="193">
        <v>19</v>
      </c>
      <c r="K30" s="193">
        <v>11</v>
      </c>
      <c r="L30" s="193">
        <v>1965</v>
      </c>
      <c r="M30" s="194" t="str">
        <f t="shared" si="1"/>
        <v>19651119</v>
      </c>
      <c r="N30" s="193">
        <v>18</v>
      </c>
      <c r="O30" s="193" t="s">
        <v>349</v>
      </c>
      <c r="P30" s="195">
        <v>1994</v>
      </c>
      <c r="Q30" s="193">
        <v>18</v>
      </c>
      <c r="R30" s="193" t="s">
        <v>349</v>
      </c>
      <c r="S30" s="195">
        <v>1994</v>
      </c>
      <c r="T30" s="188">
        <f t="shared" si="8"/>
        <v>31</v>
      </c>
      <c r="U30" s="188">
        <f t="shared" si="3"/>
        <v>31</v>
      </c>
      <c r="V30" s="188">
        <f t="shared" si="4"/>
        <v>31</v>
      </c>
      <c r="W30" s="188">
        <f t="shared" si="5"/>
        <v>31</v>
      </c>
      <c r="X30" s="195" t="s">
        <v>357</v>
      </c>
      <c r="Y30" s="196" t="s">
        <v>444</v>
      </c>
      <c r="Z30" s="197">
        <v>1992</v>
      </c>
      <c r="AA30" s="195" t="s">
        <v>358</v>
      </c>
      <c r="AB30" s="195"/>
      <c r="AC30" s="188" t="str">
        <f>IFERROR(VLOOKUP(AD30,REFERENSI!$H$5:$I$13,2,FALSE)," ")</f>
        <v xml:space="preserve"> </v>
      </c>
      <c r="AD30" s="195"/>
      <c r="AE30" s="189" t="s">
        <v>464</v>
      </c>
      <c r="AF30" s="195"/>
      <c r="AG30" s="195" t="s">
        <v>326</v>
      </c>
      <c r="AH30" s="208" t="str">
        <f t="shared" si="6"/>
        <v>-</v>
      </c>
      <c r="AI30" s="198" t="str">
        <f t="shared" si="7"/>
        <v xml:space="preserve"> </v>
      </c>
      <c r="AJ30" s="195" t="s">
        <v>358</v>
      </c>
      <c r="AK30" s="195">
        <v>2009</v>
      </c>
      <c r="AL30" s="215" t="s">
        <v>465</v>
      </c>
      <c r="AM30" s="213" t="s">
        <v>466</v>
      </c>
      <c r="AN30" s="214"/>
      <c r="AO30" s="142"/>
      <c r="BF30" s="203" t="s">
        <v>467</v>
      </c>
      <c r="BG30" s="204">
        <v>1968</v>
      </c>
    </row>
    <row r="31" s="207" customFormat="1" ht="25" customHeight="1">
      <c r="A31" s="188">
        <v>28</v>
      </c>
      <c r="B31" s="189" t="s">
        <v>416</v>
      </c>
      <c r="C31" s="190" t="str">
        <f>IFERROR(VLOOKUP(B31,REFERENSI!$C$6:$D$15,2,FALSE)," ")</f>
        <v>04</v>
      </c>
      <c r="D31" s="191">
        <v>70</v>
      </c>
      <c r="E31" s="189" t="s">
        <v>76</v>
      </c>
      <c r="F31" s="190" t="str">
        <f>IFERROR(VLOOKUP(E31,REFERENSI!$F$5:$G$6,2,FALSE)," ")</f>
        <v>01</v>
      </c>
      <c r="G31" s="189" t="s">
        <v>468</v>
      </c>
      <c r="H31" s="192" t="str">
        <f t="shared" si="0"/>
        <v xml:space="preserve">19750630  199607 04 01 70</v>
      </c>
      <c r="I31" s="189" t="s">
        <v>347</v>
      </c>
      <c r="J31" s="193">
        <v>30</v>
      </c>
      <c r="K31" s="193" t="s">
        <v>373</v>
      </c>
      <c r="L31" s="193">
        <v>1975</v>
      </c>
      <c r="M31" s="194" t="str">
        <f t="shared" si="1"/>
        <v>19750630</v>
      </c>
      <c r="N31" s="193">
        <v>17</v>
      </c>
      <c r="O31" s="193" t="s">
        <v>349</v>
      </c>
      <c r="P31" s="195">
        <v>1996</v>
      </c>
      <c r="Q31" s="193">
        <v>17</v>
      </c>
      <c r="R31" s="193" t="s">
        <v>349</v>
      </c>
      <c r="S31" s="195">
        <v>1996</v>
      </c>
      <c r="T31" s="188">
        <f t="shared" si="8"/>
        <v>29</v>
      </c>
      <c r="U31" s="188">
        <f t="shared" si="3"/>
        <v>29</v>
      </c>
      <c r="V31" s="188">
        <f t="shared" si="4"/>
        <v>29</v>
      </c>
      <c r="W31" s="188">
        <f t="shared" si="5"/>
        <v>29</v>
      </c>
      <c r="X31" s="195" t="s">
        <v>357</v>
      </c>
      <c r="Y31" s="196" t="s">
        <v>444</v>
      </c>
      <c r="Z31" s="197">
        <v>1997</v>
      </c>
      <c r="AA31" s="195" t="s">
        <v>358</v>
      </c>
      <c r="AB31" s="195"/>
      <c r="AC31" s="188" t="str">
        <f>IFERROR(VLOOKUP(AD31,REFERENSI!$H$5:$I$13,2,FALSE)," ")</f>
        <v xml:space="preserve"> </v>
      </c>
      <c r="AD31" s="195"/>
      <c r="AE31" s="189" t="s">
        <v>469</v>
      </c>
      <c r="AF31" s="195"/>
      <c r="AG31" s="195" t="s">
        <v>326</v>
      </c>
      <c r="AH31" s="208" t="str">
        <f t="shared" si="6"/>
        <v>-</v>
      </c>
      <c r="AI31" s="198" t="str">
        <f t="shared" si="7"/>
        <v xml:space="preserve"> </v>
      </c>
      <c r="AJ31" s="195" t="s">
        <v>358</v>
      </c>
      <c r="AK31" s="195">
        <v>2009</v>
      </c>
      <c r="AL31" s="215" t="s">
        <v>470</v>
      </c>
      <c r="AM31" s="213" t="s">
        <v>471</v>
      </c>
      <c r="AN31" s="214"/>
      <c r="AO31" s="142"/>
      <c r="BF31" s="203" t="s">
        <v>472</v>
      </c>
      <c r="BG31" s="204">
        <v>1969</v>
      </c>
    </row>
    <row r="32" s="207" customFormat="1" ht="25" customHeight="1">
      <c r="A32" s="188">
        <v>29</v>
      </c>
      <c r="B32" s="189" t="s">
        <v>416</v>
      </c>
      <c r="C32" s="190" t="str">
        <f>IFERROR(VLOOKUP(B32,REFERENSI!$C$6:$D$15,2,FALSE)," ")</f>
        <v>04</v>
      </c>
      <c r="D32" s="191">
        <v>70</v>
      </c>
      <c r="E32" s="189" t="s">
        <v>76</v>
      </c>
      <c r="F32" s="190" t="str">
        <f>IFERROR(VLOOKUP(E32,REFERENSI!$F$5:$G$6,2,FALSE)," ")</f>
        <v>01</v>
      </c>
      <c r="G32" s="189" t="s">
        <v>473</v>
      </c>
      <c r="H32" s="192" t="str">
        <f t="shared" si="0"/>
        <v xml:space="preserve">19720515  199607 04 01 70</v>
      </c>
      <c r="I32" s="189" t="s">
        <v>347</v>
      </c>
      <c r="J32" s="193">
        <v>15</v>
      </c>
      <c r="K32" s="193" t="s">
        <v>368</v>
      </c>
      <c r="L32" s="193">
        <v>1972</v>
      </c>
      <c r="M32" s="194" t="str">
        <f t="shared" si="1"/>
        <v>19720515</v>
      </c>
      <c r="N32" s="193">
        <v>17</v>
      </c>
      <c r="O32" s="193" t="s">
        <v>349</v>
      </c>
      <c r="P32" s="195">
        <v>1996</v>
      </c>
      <c r="Q32" s="193">
        <v>17</v>
      </c>
      <c r="R32" s="193" t="s">
        <v>349</v>
      </c>
      <c r="S32" s="195">
        <v>1996</v>
      </c>
      <c r="T32" s="188">
        <f t="shared" si="8"/>
        <v>29</v>
      </c>
      <c r="U32" s="188">
        <f t="shared" si="3"/>
        <v>29</v>
      </c>
      <c r="V32" s="188">
        <f t="shared" si="4"/>
        <v>29</v>
      </c>
      <c r="W32" s="188">
        <f t="shared" si="5"/>
        <v>29</v>
      </c>
      <c r="X32" s="195" t="s">
        <v>357</v>
      </c>
      <c r="Y32" s="196" t="s">
        <v>444</v>
      </c>
      <c r="Z32" s="197">
        <v>2000</v>
      </c>
      <c r="AA32" s="195" t="s">
        <v>358</v>
      </c>
      <c r="AB32" s="195"/>
      <c r="AC32" s="188" t="str">
        <f>IFERROR(VLOOKUP(AD32,REFERENSI!$H$5:$I$13,2,FALSE)," ")</f>
        <v xml:space="preserve"> </v>
      </c>
      <c r="AD32" s="195"/>
      <c r="AE32" s="189" t="s">
        <v>474</v>
      </c>
      <c r="AF32" s="195"/>
      <c r="AG32" s="195" t="s">
        <v>326</v>
      </c>
      <c r="AH32" s="208" t="str">
        <f t="shared" si="6"/>
        <v>-</v>
      </c>
      <c r="AI32" s="198" t="str">
        <f t="shared" si="7"/>
        <v xml:space="preserve"> </v>
      </c>
      <c r="AJ32" s="195" t="s">
        <v>358</v>
      </c>
      <c r="AK32" s="195">
        <v>2009</v>
      </c>
      <c r="AL32" s="215" t="s">
        <v>475</v>
      </c>
      <c r="AM32" s="213" t="s">
        <v>476</v>
      </c>
      <c r="AN32" s="214"/>
      <c r="AO32" s="142"/>
      <c r="BF32" s="203" t="s">
        <v>477</v>
      </c>
      <c r="BG32" s="204">
        <v>1970</v>
      </c>
    </row>
    <row r="33" s="207" customFormat="1" ht="25" customHeight="1">
      <c r="A33" s="188">
        <v>30</v>
      </c>
      <c r="B33" s="189" t="s">
        <v>416</v>
      </c>
      <c r="C33" s="190" t="str">
        <f>IFERROR(VLOOKUP(B33,REFERENSI!$C$6:$D$15,2,FALSE)," ")</f>
        <v>04</v>
      </c>
      <c r="D33" s="191">
        <v>73</v>
      </c>
      <c r="E33" s="189" t="s">
        <v>76</v>
      </c>
      <c r="F33" s="190" t="str">
        <f>IFERROR(VLOOKUP(E33,REFERENSI!$F$5:$G$6,2,FALSE)," ")</f>
        <v>01</v>
      </c>
      <c r="G33" s="189" t="s">
        <v>478</v>
      </c>
      <c r="H33" s="192" t="str">
        <f t="shared" si="0"/>
        <v xml:space="preserve">19730626  199907 04 01 73</v>
      </c>
      <c r="I33" s="189" t="s">
        <v>347</v>
      </c>
      <c r="J33" s="193">
        <v>26</v>
      </c>
      <c r="K33" s="193" t="s">
        <v>373</v>
      </c>
      <c r="L33" s="193">
        <v>1973</v>
      </c>
      <c r="M33" s="194" t="str">
        <f t="shared" si="1"/>
        <v>19730626</v>
      </c>
      <c r="N33" s="193">
        <v>18</v>
      </c>
      <c r="O33" s="193" t="s">
        <v>349</v>
      </c>
      <c r="P33" s="195">
        <v>1999</v>
      </c>
      <c r="Q33" s="193">
        <v>18</v>
      </c>
      <c r="R33" s="193" t="s">
        <v>349</v>
      </c>
      <c r="S33" s="195">
        <v>1999</v>
      </c>
      <c r="T33" s="188">
        <f t="shared" si="8"/>
        <v>26</v>
      </c>
      <c r="U33" s="188">
        <f t="shared" si="3"/>
        <v>26</v>
      </c>
      <c r="V33" s="188">
        <f t="shared" si="4"/>
        <v>26</v>
      </c>
      <c r="W33" s="188">
        <f t="shared" si="5"/>
        <v>26</v>
      </c>
      <c r="X33" s="195" t="s">
        <v>357</v>
      </c>
      <c r="Y33" s="196" t="s">
        <v>444</v>
      </c>
      <c r="Z33" s="197">
        <v>1998</v>
      </c>
      <c r="AA33" s="195"/>
      <c r="AB33" s="195"/>
      <c r="AC33" s="188" t="str">
        <f>IFERROR(VLOOKUP(AD33,REFERENSI!$H$5:$I$13,2,FALSE)," ")</f>
        <v xml:space="preserve"> </v>
      </c>
      <c r="AD33" s="195"/>
      <c r="AE33" s="189" t="s">
        <v>479</v>
      </c>
      <c r="AF33" s="195"/>
      <c r="AG33" s="195" t="s">
        <v>326</v>
      </c>
      <c r="AH33" s="208" t="str">
        <f t="shared" si="6"/>
        <v>-</v>
      </c>
      <c r="AI33" s="198" t="str">
        <f t="shared" si="7"/>
        <v xml:space="preserve"> </v>
      </c>
      <c r="AJ33" s="195" t="s">
        <v>358</v>
      </c>
      <c r="AK33" s="195">
        <v>2011</v>
      </c>
      <c r="AL33" s="215" t="s">
        <v>480</v>
      </c>
      <c r="AM33" s="213" t="s">
        <v>481</v>
      </c>
      <c r="AN33" s="214"/>
      <c r="AO33" s="142"/>
      <c r="BF33" s="203" t="s">
        <v>482</v>
      </c>
      <c r="BG33" s="204">
        <v>1971</v>
      </c>
    </row>
    <row r="34" s="207" customFormat="1" ht="25" customHeight="1">
      <c r="A34" s="188">
        <v>31</v>
      </c>
      <c r="B34" s="189" t="s">
        <v>483</v>
      </c>
      <c r="C34" s="190" t="str">
        <f>IFERROR(VLOOKUP(B34,REFERENSI!$C$6:$D$15,2,FALSE)," ")</f>
        <v>07</v>
      </c>
      <c r="D34" s="191">
        <v>15</v>
      </c>
      <c r="E34" s="189" t="s">
        <v>387</v>
      </c>
      <c r="F34" s="190" t="str">
        <f>IFERROR(VLOOKUP(E34,REFERENSI!$F$5:$G$6,2,FALSE)," ")</f>
        <v>02</v>
      </c>
      <c r="G34" s="189" t="s">
        <v>484</v>
      </c>
      <c r="H34" s="192" t="str">
        <f t="shared" si="0"/>
        <v xml:space="preserve">20040301  202407 07 02 15</v>
      </c>
      <c r="I34" s="189" t="s">
        <v>347</v>
      </c>
      <c r="J34" s="193" t="s">
        <v>325</v>
      </c>
      <c r="K34" s="193" t="s">
        <v>354</v>
      </c>
      <c r="L34" s="193">
        <v>2004</v>
      </c>
      <c r="M34" s="194" t="str">
        <f t="shared" si="1"/>
        <v>20040301</v>
      </c>
      <c r="N34" s="193" t="s">
        <v>423</v>
      </c>
      <c r="O34" s="193" t="s">
        <v>349</v>
      </c>
      <c r="P34" s="195">
        <v>2024</v>
      </c>
      <c r="Q34" s="193" t="s">
        <v>423</v>
      </c>
      <c r="R34" s="193" t="s">
        <v>349</v>
      </c>
      <c r="S34" s="195">
        <v>2024</v>
      </c>
      <c r="T34" s="188">
        <f t="shared" si="8"/>
        <v>1</v>
      </c>
      <c r="U34" s="188">
        <f t="shared" si="3"/>
        <v>1</v>
      </c>
      <c r="V34" s="188">
        <f t="shared" si="4"/>
        <v>1</v>
      </c>
      <c r="W34" s="188">
        <f t="shared" si="5"/>
        <v>1</v>
      </c>
      <c r="X34" s="195" t="s">
        <v>389</v>
      </c>
      <c r="Y34" s="196" t="s">
        <v>469</v>
      </c>
      <c r="Z34" s="197">
        <v>2001</v>
      </c>
      <c r="AA34" s="195" t="s">
        <v>358</v>
      </c>
      <c r="AB34" s="195"/>
      <c r="AC34" s="188" t="str">
        <f>IFERROR(VLOOKUP(AD34,REFERENSI!$H$5:$I$13,2,FALSE)," ")</f>
        <v xml:space="preserve"> </v>
      </c>
      <c r="AD34" s="195"/>
      <c r="AE34" s="189" t="s">
        <v>485</v>
      </c>
      <c r="AF34" s="195"/>
      <c r="AG34" s="195" t="s">
        <v>326</v>
      </c>
      <c r="AH34" s="208" t="str">
        <f t="shared" si="6"/>
        <v>-</v>
      </c>
      <c r="AI34" s="198" t="str">
        <f t="shared" si="7"/>
        <v xml:space="preserve"> </v>
      </c>
      <c r="AJ34" s="195" t="s">
        <v>358</v>
      </c>
      <c r="AK34" s="195"/>
      <c r="AL34" s="215" t="s">
        <v>486</v>
      </c>
      <c r="AM34" s="199" t="s">
        <v>487</v>
      </c>
      <c r="AN34" s="201"/>
      <c r="AO34" s="142"/>
      <c r="BF34" s="203" t="s">
        <v>488</v>
      </c>
      <c r="BG34" s="204">
        <v>1972</v>
      </c>
    </row>
    <row r="35" s="207" customFormat="1" ht="25" customHeight="1">
      <c r="A35" s="188">
        <v>32</v>
      </c>
      <c r="B35" s="189" t="s">
        <v>416</v>
      </c>
      <c r="C35" s="190" t="str">
        <f>IFERROR(VLOOKUP(B35,REFERENSI!$C$6:$D$15,2,FALSE)," ")</f>
        <v>04</v>
      </c>
      <c r="D35" s="191">
        <v>29</v>
      </c>
      <c r="E35" s="189" t="s">
        <v>76</v>
      </c>
      <c r="F35" s="190" t="str">
        <f>IFERROR(VLOOKUP(E35,REFERENSI!$F$5:$G$6,2,FALSE)," ")</f>
        <v>01</v>
      </c>
      <c r="G35" s="189" t="s">
        <v>489</v>
      </c>
      <c r="H35" s="192" t="str">
        <f t="shared" ref="H35:H98" si="9">IFERROR((M35&amp;"  "&amp;P35&amp;O35&amp;" "&amp;C35&amp;" "&amp;F35&amp;" "&amp;D35)," ")</f>
        <v xml:space="preserve">19810709  200407 04 01 29</v>
      </c>
      <c r="I35" s="189" t="s">
        <v>347</v>
      </c>
      <c r="J35" s="193" t="s">
        <v>393</v>
      </c>
      <c r="K35" s="193" t="s">
        <v>349</v>
      </c>
      <c r="L35" s="193">
        <v>1981</v>
      </c>
      <c r="M35" s="194" t="str">
        <f t="shared" ref="M35:M98" si="10">L35&amp;K35&amp;J35</f>
        <v>19810709</v>
      </c>
      <c r="N35" s="193">
        <v>18</v>
      </c>
      <c r="O35" s="193" t="s">
        <v>349</v>
      </c>
      <c r="P35" s="195">
        <v>2004</v>
      </c>
      <c r="Q35" s="193">
        <v>18</v>
      </c>
      <c r="R35" s="193" t="s">
        <v>349</v>
      </c>
      <c r="S35" s="195">
        <v>2004</v>
      </c>
      <c r="T35" s="188">
        <f t="shared" si="8"/>
        <v>21</v>
      </c>
      <c r="U35" s="188">
        <f t="shared" ref="U35:U98" si="11">$E$4-P35</f>
        <v>21</v>
      </c>
      <c r="V35" s="188">
        <f t="shared" ref="V35:V98" si="12">IF(U35=$E$4," ",U35)</f>
        <v>21</v>
      </c>
      <c r="W35" s="188">
        <f t="shared" ref="W35:W98" si="13">IF(T35=$E$4," ",T35)</f>
        <v>21</v>
      </c>
      <c r="X35" s="195" t="s">
        <v>357</v>
      </c>
      <c r="Y35" s="196" t="s">
        <v>490</v>
      </c>
      <c r="Z35" s="197">
        <v>2004</v>
      </c>
      <c r="AA35" s="195"/>
      <c r="AB35" s="195"/>
      <c r="AC35" s="188" t="str">
        <f>IFERROR(VLOOKUP(AD35,REFERENSI!$H$5:$I$13,2,FALSE)," ")</f>
        <v xml:space="preserve"> </v>
      </c>
      <c r="AD35" s="195"/>
      <c r="AE35" s="189" t="s">
        <v>491</v>
      </c>
      <c r="AF35" s="195"/>
      <c r="AG35" s="195" t="s">
        <v>326</v>
      </c>
      <c r="AH35" s="208" t="str">
        <f t="shared" ref="AH35:AH98" si="14">VLOOKUP(AG35,$BK$6:$BL$19,2,FALSE)</f>
        <v>-</v>
      </c>
      <c r="AI35" s="198" t="str">
        <f t="shared" ref="AI35:AI98" si="15">IFERROR((AF35+AH35)," ")</f>
        <v xml:space="preserve"> </v>
      </c>
      <c r="AJ35" s="195" t="s">
        <v>358</v>
      </c>
      <c r="AK35" s="195">
        <v>2010</v>
      </c>
      <c r="AL35" s="215" t="s">
        <v>492</v>
      </c>
      <c r="AM35" s="213" t="s">
        <v>493</v>
      </c>
      <c r="AN35" s="214"/>
      <c r="AO35" s="142"/>
      <c r="BF35" s="203" t="s">
        <v>494</v>
      </c>
      <c r="BG35" s="204">
        <v>1973</v>
      </c>
    </row>
    <row r="36" s="207" customFormat="1" ht="25" customHeight="1">
      <c r="A36" s="188">
        <v>33</v>
      </c>
      <c r="B36" s="189" t="s">
        <v>416</v>
      </c>
      <c r="C36" s="190" t="str">
        <f>IFERROR(VLOOKUP(B36,REFERENSI!$C$6:$D$15,2,FALSE)," ")</f>
        <v>04</v>
      </c>
      <c r="D36" s="191">
        <v>80</v>
      </c>
      <c r="E36" s="189" t="s">
        <v>76</v>
      </c>
      <c r="F36" s="190" t="str">
        <f>IFERROR(VLOOKUP(E36,REFERENSI!$F$5:$G$6,2,FALSE)," ")</f>
        <v>01</v>
      </c>
      <c r="G36" s="189" t="s">
        <v>495</v>
      </c>
      <c r="H36" s="192" t="str">
        <f t="shared" si="9"/>
        <v xml:space="preserve">19810520  200207 04 01 80</v>
      </c>
      <c r="I36" s="189" t="s">
        <v>347</v>
      </c>
      <c r="J36" s="193">
        <v>20</v>
      </c>
      <c r="K36" s="193" t="s">
        <v>368</v>
      </c>
      <c r="L36" s="193">
        <v>1981</v>
      </c>
      <c r="M36" s="194" t="str">
        <f t="shared" si="10"/>
        <v>19810520</v>
      </c>
      <c r="N36" s="193">
        <v>17</v>
      </c>
      <c r="O36" s="193" t="s">
        <v>349</v>
      </c>
      <c r="P36" s="195">
        <v>2002</v>
      </c>
      <c r="Q36" s="193">
        <v>17</v>
      </c>
      <c r="R36" s="193" t="s">
        <v>349</v>
      </c>
      <c r="S36" s="195">
        <v>2002</v>
      </c>
      <c r="T36" s="188">
        <f t="shared" si="8"/>
        <v>23</v>
      </c>
      <c r="U36" s="188">
        <f t="shared" si="11"/>
        <v>23</v>
      </c>
      <c r="V36" s="188">
        <f t="shared" si="12"/>
        <v>23</v>
      </c>
      <c r="W36" s="188">
        <f t="shared" si="13"/>
        <v>23</v>
      </c>
      <c r="X36" s="195" t="s">
        <v>496</v>
      </c>
      <c r="Y36" s="196" t="s">
        <v>497</v>
      </c>
      <c r="Z36" s="197">
        <v>2007</v>
      </c>
      <c r="AA36" s="195"/>
      <c r="AB36" s="195"/>
      <c r="AC36" s="188" t="str">
        <f>IFERROR(VLOOKUP(AD36,REFERENSI!$H$5:$I$13,2,FALSE)," ")</f>
        <v xml:space="preserve"> </v>
      </c>
      <c r="AD36" s="195"/>
      <c r="AE36" s="189" t="s">
        <v>498</v>
      </c>
      <c r="AF36" s="195"/>
      <c r="AG36" s="195" t="s">
        <v>326</v>
      </c>
      <c r="AH36" s="208" t="str">
        <f t="shared" si="14"/>
        <v>-</v>
      </c>
      <c r="AI36" s="198" t="str">
        <f t="shared" si="15"/>
        <v xml:space="preserve"> </v>
      </c>
      <c r="AJ36" s="195" t="s">
        <v>358</v>
      </c>
      <c r="AK36" s="195">
        <v>2009</v>
      </c>
      <c r="AL36" s="215" t="s">
        <v>499</v>
      </c>
      <c r="AM36" s="213" t="s">
        <v>500</v>
      </c>
      <c r="AN36" s="214"/>
      <c r="AO36" s="142"/>
      <c r="BF36" s="203" t="s">
        <v>501</v>
      </c>
      <c r="BG36" s="204">
        <v>1974</v>
      </c>
    </row>
    <row r="37" s="207" customFormat="1" ht="25" customHeight="1">
      <c r="A37" s="188">
        <v>34</v>
      </c>
      <c r="B37" s="189" t="s">
        <v>416</v>
      </c>
      <c r="C37" s="190" t="str">
        <f>IFERROR(VLOOKUP(B37,REFERENSI!$C$6:$D$15,2,FALSE)," ")</f>
        <v>04</v>
      </c>
      <c r="D37" s="191">
        <v>83</v>
      </c>
      <c r="E37" s="189" t="s">
        <v>76</v>
      </c>
      <c r="F37" s="190" t="str">
        <f>IFERROR(VLOOKUP(E37,REFERENSI!$F$5:$G$6,2,FALSE)," ")</f>
        <v>01</v>
      </c>
      <c r="G37" s="189" t="s">
        <v>502</v>
      </c>
      <c r="H37" s="192" t="str">
        <f t="shared" si="9"/>
        <v xml:space="preserve">19780220  200307 04 01 83</v>
      </c>
      <c r="I37" s="189" t="s">
        <v>503</v>
      </c>
      <c r="J37" s="193">
        <v>20</v>
      </c>
      <c r="K37" s="193" t="s">
        <v>343</v>
      </c>
      <c r="L37" s="193">
        <v>1978</v>
      </c>
      <c r="M37" s="194" t="str">
        <f t="shared" si="10"/>
        <v>19780220</v>
      </c>
      <c r="N37" s="193">
        <v>18</v>
      </c>
      <c r="O37" s="193" t="s">
        <v>349</v>
      </c>
      <c r="P37" s="195">
        <v>2003</v>
      </c>
      <c r="Q37" s="193">
        <v>18</v>
      </c>
      <c r="R37" s="193" t="s">
        <v>349</v>
      </c>
      <c r="S37" s="195">
        <v>2003</v>
      </c>
      <c r="T37" s="188">
        <f t="shared" si="8"/>
        <v>22</v>
      </c>
      <c r="U37" s="188">
        <f t="shared" si="11"/>
        <v>22</v>
      </c>
      <c r="V37" s="188">
        <f t="shared" si="12"/>
        <v>22</v>
      </c>
      <c r="W37" s="188">
        <f t="shared" si="13"/>
        <v>22</v>
      </c>
      <c r="X37" s="195" t="s">
        <v>357</v>
      </c>
      <c r="Y37" s="196" t="s">
        <v>444</v>
      </c>
      <c r="Z37" s="197">
        <v>2002</v>
      </c>
      <c r="AA37" s="195" t="s">
        <v>358</v>
      </c>
      <c r="AB37" s="195"/>
      <c r="AC37" s="188" t="str">
        <f>IFERROR(VLOOKUP(AD37,REFERENSI!$H$5:$I$13,2,FALSE)," ")</f>
        <v xml:space="preserve"> </v>
      </c>
      <c r="AD37" s="195"/>
      <c r="AE37" s="189" t="s">
        <v>469</v>
      </c>
      <c r="AF37" s="195"/>
      <c r="AG37" s="195" t="s">
        <v>326</v>
      </c>
      <c r="AH37" s="208" t="str">
        <f t="shared" si="14"/>
        <v>-</v>
      </c>
      <c r="AI37" s="198" t="str">
        <f t="shared" si="15"/>
        <v xml:space="preserve"> </v>
      </c>
      <c r="AJ37" s="195" t="s">
        <v>358</v>
      </c>
      <c r="AK37" s="195">
        <v>2011</v>
      </c>
      <c r="AL37" s="215" t="s">
        <v>504</v>
      </c>
      <c r="AM37" s="213" t="s">
        <v>505</v>
      </c>
      <c r="AN37" s="214"/>
      <c r="AO37" s="142"/>
      <c r="BG37" s="204">
        <v>1975</v>
      </c>
    </row>
    <row r="38" s="207" customFormat="1" ht="25" customHeight="1">
      <c r="A38" s="188">
        <v>35</v>
      </c>
      <c r="B38" s="189" t="s">
        <v>416</v>
      </c>
      <c r="C38" s="190" t="str">
        <f>IFERROR(VLOOKUP(B38,REFERENSI!$C$6:$D$15,2,FALSE)," ")</f>
        <v>04</v>
      </c>
      <c r="D38" s="191">
        <v>21</v>
      </c>
      <c r="E38" s="189" t="s">
        <v>76</v>
      </c>
      <c r="F38" s="190" t="str">
        <f>IFERROR(VLOOKUP(E38,REFERENSI!$F$5:$G$6,2,FALSE)," ")</f>
        <v>01</v>
      </c>
      <c r="G38" s="189" t="s">
        <v>506</v>
      </c>
      <c r="H38" s="192" t="str">
        <f t="shared" si="9"/>
        <v xml:space="preserve">19780615  200207 04 01 21</v>
      </c>
      <c r="I38" s="189" t="s">
        <v>347</v>
      </c>
      <c r="J38" s="193">
        <v>15</v>
      </c>
      <c r="K38" s="193" t="s">
        <v>373</v>
      </c>
      <c r="L38" s="193">
        <v>1978</v>
      </c>
      <c r="M38" s="194" t="str">
        <f t="shared" si="10"/>
        <v>19780615</v>
      </c>
      <c r="N38" s="193">
        <v>17</v>
      </c>
      <c r="O38" s="193" t="s">
        <v>349</v>
      </c>
      <c r="P38" s="195">
        <v>2002</v>
      </c>
      <c r="Q38" s="193">
        <v>17</v>
      </c>
      <c r="R38" s="193" t="s">
        <v>349</v>
      </c>
      <c r="S38" s="195">
        <v>2002</v>
      </c>
      <c r="T38" s="188">
        <f t="shared" si="8"/>
        <v>23</v>
      </c>
      <c r="U38" s="188">
        <f t="shared" si="11"/>
        <v>23</v>
      </c>
      <c r="V38" s="188">
        <f t="shared" si="12"/>
        <v>23</v>
      </c>
      <c r="W38" s="188">
        <f t="shared" si="13"/>
        <v>23</v>
      </c>
      <c r="X38" s="195" t="s">
        <v>357</v>
      </c>
      <c r="Y38" s="196" t="s">
        <v>507</v>
      </c>
      <c r="Z38" s="197">
        <v>2002</v>
      </c>
      <c r="AA38" s="195" t="s">
        <v>358</v>
      </c>
      <c r="AB38" s="195"/>
      <c r="AC38" s="188" t="str">
        <f>IFERROR(VLOOKUP(AD38,REFERENSI!$H$5:$I$13,2,FALSE)," ")</f>
        <v xml:space="preserve"> </v>
      </c>
      <c r="AD38" s="195"/>
      <c r="AE38" s="189" t="s">
        <v>508</v>
      </c>
      <c r="AF38" s="195"/>
      <c r="AG38" s="195" t="s">
        <v>326</v>
      </c>
      <c r="AH38" s="208" t="str">
        <f t="shared" si="14"/>
        <v>-</v>
      </c>
      <c r="AI38" s="198" t="str">
        <f t="shared" si="15"/>
        <v xml:space="preserve"> </v>
      </c>
      <c r="AJ38" s="195" t="s">
        <v>358</v>
      </c>
      <c r="AK38" s="195">
        <v>2009</v>
      </c>
      <c r="AL38" s="215" t="s">
        <v>509</v>
      </c>
      <c r="AM38" s="213" t="s">
        <v>510</v>
      </c>
      <c r="AN38" s="214"/>
      <c r="AO38" s="142"/>
      <c r="BG38" s="204">
        <v>1976</v>
      </c>
    </row>
    <row r="39" s="207" customFormat="1" ht="25" customHeight="1">
      <c r="A39" s="188">
        <v>36</v>
      </c>
      <c r="B39" s="189" t="s">
        <v>416</v>
      </c>
      <c r="C39" s="190" t="str">
        <f>IFERROR(VLOOKUP(B39,REFERENSI!$C$6:$D$15,2,FALSE)," ")</f>
        <v>04</v>
      </c>
      <c r="D39" s="191">
        <v>95</v>
      </c>
      <c r="E39" s="189" t="s">
        <v>76</v>
      </c>
      <c r="F39" s="190" t="str">
        <f>IFERROR(VLOOKUP(E39,REFERENSI!$F$5:$G$6,2,FALSE)," ")</f>
        <v>01</v>
      </c>
      <c r="G39" s="189" t="s">
        <v>511</v>
      </c>
      <c r="H39" s="192" t="str">
        <f t="shared" si="9"/>
        <v xml:space="preserve">19850828  200507 04 01 95</v>
      </c>
      <c r="I39" s="189" t="s">
        <v>347</v>
      </c>
      <c r="J39" s="193">
        <v>28</v>
      </c>
      <c r="K39" s="193" t="s">
        <v>385</v>
      </c>
      <c r="L39" s="193">
        <v>1985</v>
      </c>
      <c r="M39" s="194" t="str">
        <f t="shared" si="10"/>
        <v>19850828</v>
      </c>
      <c r="N39" s="193">
        <v>18</v>
      </c>
      <c r="O39" s="193" t="s">
        <v>349</v>
      </c>
      <c r="P39" s="195">
        <v>2005</v>
      </c>
      <c r="Q39" s="193">
        <v>18</v>
      </c>
      <c r="R39" s="193" t="s">
        <v>349</v>
      </c>
      <c r="S39" s="195">
        <v>2005</v>
      </c>
      <c r="T39" s="188">
        <f t="shared" si="8"/>
        <v>20</v>
      </c>
      <c r="U39" s="188">
        <f t="shared" si="11"/>
        <v>20</v>
      </c>
      <c r="V39" s="188">
        <f t="shared" si="12"/>
        <v>20</v>
      </c>
      <c r="W39" s="188">
        <f t="shared" si="13"/>
        <v>20</v>
      </c>
      <c r="X39" s="195" t="s">
        <v>357</v>
      </c>
      <c r="Y39" s="196" t="s">
        <v>444</v>
      </c>
      <c r="Z39" s="197">
        <v>2009</v>
      </c>
      <c r="AA39" s="195"/>
      <c r="AB39" s="195"/>
      <c r="AC39" s="188" t="str">
        <f>IFERROR(VLOOKUP(AD39,REFERENSI!$H$5:$I$13,2,FALSE)," ")</f>
        <v xml:space="preserve"> </v>
      </c>
      <c r="AD39" s="195"/>
      <c r="AE39" s="189" t="s">
        <v>512</v>
      </c>
      <c r="AF39" s="195">
        <v>22</v>
      </c>
      <c r="AG39" s="195" t="s">
        <v>405</v>
      </c>
      <c r="AH39" s="208">
        <f t="shared" si="14"/>
        <v>12</v>
      </c>
      <c r="AI39" s="198">
        <f t="shared" si="15"/>
        <v>34</v>
      </c>
      <c r="AJ39" s="195" t="s">
        <v>358</v>
      </c>
      <c r="AK39" s="195">
        <v>2012</v>
      </c>
      <c r="AL39" s="215" t="s">
        <v>513</v>
      </c>
      <c r="AM39" s="213" t="s">
        <v>514</v>
      </c>
      <c r="AN39" s="214"/>
      <c r="AO39" s="142"/>
      <c r="BG39" s="204">
        <v>1977</v>
      </c>
    </row>
    <row r="40" s="207" customFormat="1" ht="25" customHeight="1">
      <c r="A40" s="188">
        <v>37</v>
      </c>
      <c r="B40" s="189" t="s">
        <v>416</v>
      </c>
      <c r="C40" s="190" t="str">
        <f>IFERROR(VLOOKUP(B40,REFERENSI!$C$6:$D$15,2,FALSE)," ")</f>
        <v>04</v>
      </c>
      <c r="D40" s="191">
        <v>89</v>
      </c>
      <c r="E40" s="189" t="s">
        <v>76</v>
      </c>
      <c r="F40" s="190" t="str">
        <f>IFERROR(VLOOKUP(E40,REFERENSI!$F$5:$G$6,2,FALSE)," ")</f>
        <v>01</v>
      </c>
      <c r="G40" s="189" t="s">
        <v>515</v>
      </c>
      <c r="H40" s="192" t="str">
        <f t="shared" si="9"/>
        <v xml:space="preserve">19800201  200407 04 01 89</v>
      </c>
      <c r="I40" s="189" t="s">
        <v>516</v>
      </c>
      <c r="J40" s="193" t="s">
        <v>325</v>
      </c>
      <c r="K40" s="193" t="s">
        <v>343</v>
      </c>
      <c r="L40" s="193">
        <v>1980</v>
      </c>
      <c r="M40" s="194" t="str">
        <f t="shared" si="10"/>
        <v>19800201</v>
      </c>
      <c r="N40" s="193" t="s">
        <v>437</v>
      </c>
      <c r="O40" s="193" t="s">
        <v>349</v>
      </c>
      <c r="P40" s="195">
        <v>2004</v>
      </c>
      <c r="Q40" s="193" t="s">
        <v>437</v>
      </c>
      <c r="R40" s="193" t="s">
        <v>349</v>
      </c>
      <c r="S40" s="195">
        <v>2004</v>
      </c>
      <c r="T40" s="188">
        <f t="shared" si="8"/>
        <v>21</v>
      </c>
      <c r="U40" s="188">
        <f t="shared" si="11"/>
        <v>21</v>
      </c>
      <c r="V40" s="188">
        <f t="shared" si="12"/>
        <v>21</v>
      </c>
      <c r="W40" s="188">
        <f t="shared" si="13"/>
        <v>21</v>
      </c>
      <c r="X40" s="195" t="s">
        <v>357</v>
      </c>
      <c r="Y40" s="196" t="s">
        <v>517</v>
      </c>
      <c r="Z40" s="197">
        <v>2003</v>
      </c>
      <c r="AA40" s="195"/>
      <c r="AB40" s="195"/>
      <c r="AC40" s="188" t="str">
        <f>IFERROR(VLOOKUP(AD40,REFERENSI!$H$5:$I$13,2,FALSE)," ")</f>
        <v xml:space="preserve"> </v>
      </c>
      <c r="AD40" s="195"/>
      <c r="AE40" s="189" t="s">
        <v>518</v>
      </c>
      <c r="AF40" s="195">
        <v>30</v>
      </c>
      <c r="AG40" s="195" t="s">
        <v>326</v>
      </c>
      <c r="AH40" s="208" t="str">
        <f t="shared" si="14"/>
        <v>-</v>
      </c>
      <c r="AI40" s="198" t="str">
        <f t="shared" si="15"/>
        <v xml:space="preserve"> </v>
      </c>
      <c r="AJ40" s="195" t="s">
        <v>358</v>
      </c>
      <c r="AK40" s="195">
        <v>2010</v>
      </c>
      <c r="AL40" s="215" t="s">
        <v>519</v>
      </c>
      <c r="AM40" s="213" t="s">
        <v>520</v>
      </c>
      <c r="AN40" s="214"/>
      <c r="AO40" s="142"/>
      <c r="BG40" s="204">
        <v>1978</v>
      </c>
    </row>
    <row r="41" s="207" customFormat="1" ht="25" customHeight="1">
      <c r="A41" s="188">
        <v>38</v>
      </c>
      <c r="B41" s="189" t="s">
        <v>416</v>
      </c>
      <c r="C41" s="190" t="str">
        <f>IFERROR(VLOOKUP(B41,REFERENSI!$C$6:$D$15,2,FALSE)," ")</f>
        <v>04</v>
      </c>
      <c r="D41" s="191">
        <v>34</v>
      </c>
      <c r="E41" s="189" t="s">
        <v>76</v>
      </c>
      <c r="F41" s="190" t="str">
        <f>IFERROR(VLOOKUP(E41,REFERENSI!$F$5:$G$6,2,FALSE)," ")</f>
        <v>01</v>
      </c>
      <c r="G41" s="189" t="s">
        <v>521</v>
      </c>
      <c r="H41" s="192" t="str">
        <f t="shared" si="9"/>
        <v xml:space="preserve">19811001  200507 04 01 34</v>
      </c>
      <c r="I41" s="189" t="s">
        <v>347</v>
      </c>
      <c r="J41" s="193" t="s">
        <v>325</v>
      </c>
      <c r="K41" s="193">
        <v>10</v>
      </c>
      <c r="L41" s="193">
        <v>1981</v>
      </c>
      <c r="M41" s="194" t="str">
        <f t="shared" si="10"/>
        <v>19811001</v>
      </c>
      <c r="N41" s="193">
        <v>18</v>
      </c>
      <c r="O41" s="193" t="s">
        <v>349</v>
      </c>
      <c r="P41" s="195">
        <v>2005</v>
      </c>
      <c r="Q41" s="193">
        <v>18</v>
      </c>
      <c r="R41" s="193" t="s">
        <v>349</v>
      </c>
      <c r="S41" s="195">
        <v>2005</v>
      </c>
      <c r="T41" s="188">
        <f t="shared" si="8"/>
        <v>20</v>
      </c>
      <c r="U41" s="188">
        <f t="shared" si="11"/>
        <v>20</v>
      </c>
      <c r="V41" s="188">
        <f t="shared" si="12"/>
        <v>20</v>
      </c>
      <c r="W41" s="188">
        <f t="shared" si="13"/>
        <v>20</v>
      </c>
      <c r="X41" s="195" t="s">
        <v>357</v>
      </c>
      <c r="Y41" s="196" t="s">
        <v>522</v>
      </c>
      <c r="Z41" s="197">
        <v>2010</v>
      </c>
      <c r="AA41" s="195"/>
      <c r="AB41" s="195"/>
      <c r="AC41" s="188" t="str">
        <f>IFERROR(VLOOKUP(AD41,REFERENSI!$H$5:$I$13,2,FALSE)," ")</f>
        <v xml:space="preserve"> </v>
      </c>
      <c r="AD41" s="195"/>
      <c r="AE41" s="189" t="s">
        <v>523</v>
      </c>
      <c r="AF41" s="195">
        <v>22</v>
      </c>
      <c r="AG41" s="195" t="s">
        <v>326</v>
      </c>
      <c r="AH41" s="208" t="str">
        <f t="shared" si="14"/>
        <v>-</v>
      </c>
      <c r="AI41" s="198" t="str">
        <f t="shared" si="15"/>
        <v xml:space="preserve"> </v>
      </c>
      <c r="AJ41" s="195" t="s">
        <v>358</v>
      </c>
      <c r="AK41" s="195">
        <v>2013</v>
      </c>
      <c r="AL41" s="215" t="s">
        <v>524</v>
      </c>
      <c r="AM41" s="213" t="s">
        <v>525</v>
      </c>
      <c r="AN41" s="214"/>
      <c r="AO41" s="142"/>
      <c r="BG41" s="204">
        <v>1979</v>
      </c>
    </row>
    <row r="42" s="207" customFormat="1" ht="25" customHeight="1">
      <c r="A42" s="188">
        <v>39</v>
      </c>
      <c r="B42" s="189" t="s">
        <v>416</v>
      </c>
      <c r="C42" s="190" t="str">
        <f>IFERROR(VLOOKUP(B42,REFERENSI!$C$6:$D$15,2,FALSE)," ")</f>
        <v>04</v>
      </c>
      <c r="D42" s="191">
        <v>95</v>
      </c>
      <c r="E42" s="189" t="s">
        <v>76</v>
      </c>
      <c r="F42" s="190" t="str">
        <f>IFERROR(VLOOKUP(E42,REFERENSI!$F$5:$G$6,2,FALSE)," ")</f>
        <v>01</v>
      </c>
      <c r="G42" s="189" t="s">
        <v>526</v>
      </c>
      <c r="H42" s="192" t="str">
        <f t="shared" si="9"/>
        <v xml:space="preserve">19831206  200507 04 01 95</v>
      </c>
      <c r="I42" s="189" t="s">
        <v>347</v>
      </c>
      <c r="J42" s="193" t="s">
        <v>373</v>
      </c>
      <c r="K42" s="193">
        <v>12</v>
      </c>
      <c r="L42" s="193">
        <v>1983</v>
      </c>
      <c r="M42" s="194" t="str">
        <f t="shared" si="10"/>
        <v>19831206</v>
      </c>
      <c r="N42" s="193">
        <v>18</v>
      </c>
      <c r="O42" s="193" t="s">
        <v>349</v>
      </c>
      <c r="P42" s="195">
        <v>2005</v>
      </c>
      <c r="Q42" s="193">
        <v>18</v>
      </c>
      <c r="R42" s="193" t="s">
        <v>349</v>
      </c>
      <c r="S42" s="195">
        <v>2005</v>
      </c>
      <c r="T42" s="188">
        <f t="shared" si="8"/>
        <v>20</v>
      </c>
      <c r="U42" s="188">
        <f t="shared" si="11"/>
        <v>20</v>
      </c>
      <c r="V42" s="188">
        <f t="shared" si="12"/>
        <v>20</v>
      </c>
      <c r="W42" s="188">
        <f t="shared" si="13"/>
        <v>20</v>
      </c>
      <c r="X42" s="195" t="s">
        <v>357</v>
      </c>
      <c r="Y42" s="196" t="s">
        <v>527</v>
      </c>
      <c r="Z42" s="197">
        <v>2007</v>
      </c>
      <c r="AA42" s="195"/>
      <c r="AB42" s="195"/>
      <c r="AC42" s="188" t="str">
        <f>IFERROR(VLOOKUP(AD42,REFERENSI!$H$5:$I$13,2,FALSE)," ")</f>
        <v xml:space="preserve"> </v>
      </c>
      <c r="AD42" s="195"/>
      <c r="AE42" s="189" t="s">
        <v>518</v>
      </c>
      <c r="AF42" s="195">
        <v>25</v>
      </c>
      <c r="AG42" s="195" t="s">
        <v>326</v>
      </c>
      <c r="AH42" s="208" t="str">
        <f t="shared" si="14"/>
        <v>-</v>
      </c>
      <c r="AI42" s="198" t="str">
        <f t="shared" si="15"/>
        <v xml:space="preserve"> </v>
      </c>
      <c r="AJ42" s="195" t="s">
        <v>358</v>
      </c>
      <c r="AK42" s="195">
        <v>2013</v>
      </c>
      <c r="AL42" s="215" t="s">
        <v>528</v>
      </c>
      <c r="AM42" s="213" t="s">
        <v>529</v>
      </c>
      <c r="AN42" s="214"/>
      <c r="AO42" s="142"/>
      <c r="BG42" s="204">
        <v>1980</v>
      </c>
    </row>
    <row r="43" s="207" customFormat="1" ht="25" customHeight="1">
      <c r="A43" s="188">
        <v>40</v>
      </c>
      <c r="B43" s="189" t="s">
        <v>416</v>
      </c>
      <c r="C43" s="190" t="str">
        <f>IFERROR(VLOOKUP(B43,REFERENSI!$C$6:$D$15,2,FALSE)," ")</f>
        <v>04</v>
      </c>
      <c r="D43" s="191">
        <v>95</v>
      </c>
      <c r="E43" s="189" t="s">
        <v>76</v>
      </c>
      <c r="F43" s="190" t="str">
        <f>IFERROR(VLOOKUP(E43,REFERENSI!$F$5:$G$6,2,FALSE)," ")</f>
        <v>01</v>
      </c>
      <c r="G43" s="189" t="s">
        <v>530</v>
      </c>
      <c r="H43" s="192" t="str">
        <f t="shared" si="9"/>
        <v xml:space="preserve">19860816  200507 04 01 95</v>
      </c>
      <c r="I43" s="189" t="s">
        <v>347</v>
      </c>
      <c r="J43" s="193">
        <v>16</v>
      </c>
      <c r="K43" s="193" t="s">
        <v>385</v>
      </c>
      <c r="L43" s="193">
        <v>1986</v>
      </c>
      <c r="M43" s="194" t="str">
        <f t="shared" si="10"/>
        <v>19860816</v>
      </c>
      <c r="N43" s="193">
        <v>18</v>
      </c>
      <c r="O43" s="193" t="s">
        <v>349</v>
      </c>
      <c r="P43" s="195">
        <v>2005</v>
      </c>
      <c r="Q43" s="193">
        <v>18</v>
      </c>
      <c r="R43" s="193" t="s">
        <v>349</v>
      </c>
      <c r="S43" s="195">
        <v>2005</v>
      </c>
      <c r="T43" s="188">
        <f t="shared" si="8"/>
        <v>20</v>
      </c>
      <c r="U43" s="188">
        <f t="shared" si="11"/>
        <v>20</v>
      </c>
      <c r="V43" s="188">
        <f t="shared" si="12"/>
        <v>20</v>
      </c>
      <c r="W43" s="188">
        <f t="shared" si="13"/>
        <v>20</v>
      </c>
      <c r="X43" s="195" t="s">
        <v>357</v>
      </c>
      <c r="Y43" s="196" t="s">
        <v>444</v>
      </c>
      <c r="Z43" s="197">
        <v>2009</v>
      </c>
      <c r="AA43" s="195"/>
      <c r="AB43" s="195"/>
      <c r="AC43" s="188" t="str">
        <f>IFERROR(VLOOKUP(AD43,REFERENSI!$H$5:$I$13,2,FALSE)," ")</f>
        <v xml:space="preserve"> </v>
      </c>
      <c r="AD43" s="195"/>
      <c r="AE43" s="189" t="s">
        <v>531</v>
      </c>
      <c r="AF43" s="195">
        <v>14</v>
      </c>
      <c r="AG43" s="195" t="s">
        <v>326</v>
      </c>
      <c r="AH43" s="208" t="str">
        <f t="shared" si="14"/>
        <v>-</v>
      </c>
      <c r="AI43" s="198" t="str">
        <f t="shared" si="15"/>
        <v xml:space="preserve"> </v>
      </c>
      <c r="AJ43" s="195" t="s">
        <v>352</v>
      </c>
      <c r="AK43" s="195"/>
      <c r="AL43" s="199"/>
      <c r="AM43" s="213" t="s">
        <v>532</v>
      </c>
      <c r="AN43" s="214"/>
      <c r="AO43" s="142"/>
      <c r="BG43" s="204">
        <v>1981</v>
      </c>
    </row>
    <row r="44" s="207" customFormat="1" ht="25" customHeight="1">
      <c r="A44" s="188">
        <v>41</v>
      </c>
      <c r="B44" s="189" t="s">
        <v>416</v>
      </c>
      <c r="C44" s="190" t="str">
        <f>IFERROR(VLOOKUP(B44,REFERENSI!$C$6:$D$15,2,FALSE)," ")</f>
        <v>04</v>
      </c>
      <c r="D44" s="191">
        <v>95</v>
      </c>
      <c r="E44" s="189" t="s">
        <v>76</v>
      </c>
      <c r="F44" s="190" t="str">
        <f>IFERROR(VLOOKUP(E44,REFERENSI!$F$5:$G$6,2,FALSE)," ")</f>
        <v>01</v>
      </c>
      <c r="G44" s="189" t="s">
        <v>533</v>
      </c>
      <c r="H44" s="192" t="str">
        <f t="shared" si="9"/>
        <v xml:space="preserve">19830205  200507 04 01 95</v>
      </c>
      <c r="I44" s="189" t="s">
        <v>347</v>
      </c>
      <c r="J44" s="193" t="s">
        <v>368</v>
      </c>
      <c r="K44" s="193" t="s">
        <v>343</v>
      </c>
      <c r="L44" s="193">
        <v>1983</v>
      </c>
      <c r="M44" s="194" t="str">
        <f t="shared" si="10"/>
        <v>19830205</v>
      </c>
      <c r="N44" s="193" t="s">
        <v>434</v>
      </c>
      <c r="O44" s="193" t="s">
        <v>349</v>
      </c>
      <c r="P44" s="195">
        <v>2005</v>
      </c>
      <c r="Q44" s="193" t="s">
        <v>434</v>
      </c>
      <c r="R44" s="193" t="s">
        <v>349</v>
      </c>
      <c r="S44" s="195">
        <v>2005</v>
      </c>
      <c r="T44" s="188">
        <f t="shared" si="8"/>
        <v>20</v>
      </c>
      <c r="U44" s="188">
        <f t="shared" si="11"/>
        <v>20</v>
      </c>
      <c r="V44" s="188">
        <f t="shared" si="12"/>
        <v>20</v>
      </c>
      <c r="W44" s="188">
        <f t="shared" si="13"/>
        <v>20</v>
      </c>
      <c r="X44" s="195" t="s">
        <v>496</v>
      </c>
      <c r="Y44" s="196" t="s">
        <v>507</v>
      </c>
      <c r="Z44" s="197">
        <v>2013</v>
      </c>
      <c r="AA44" s="195"/>
      <c r="AB44" s="195"/>
      <c r="AC44" s="188" t="str">
        <f>IFERROR(VLOOKUP(AD44,REFERENSI!$H$5:$I$13,2,FALSE)," ")</f>
        <v xml:space="preserve"> </v>
      </c>
      <c r="AD44" s="195"/>
      <c r="AE44" s="189" t="s">
        <v>508</v>
      </c>
      <c r="AF44" s="195">
        <v>25</v>
      </c>
      <c r="AG44" s="195" t="s">
        <v>326</v>
      </c>
      <c r="AH44" s="208" t="str">
        <f t="shared" si="14"/>
        <v>-</v>
      </c>
      <c r="AI44" s="198" t="str">
        <f t="shared" si="15"/>
        <v xml:space="preserve"> </v>
      </c>
      <c r="AJ44" s="195" t="s">
        <v>352</v>
      </c>
      <c r="AK44" s="195"/>
      <c r="AL44" s="199"/>
      <c r="AM44" s="213" t="s">
        <v>534</v>
      </c>
      <c r="AN44" s="214"/>
      <c r="AO44" s="142"/>
      <c r="BG44" s="204">
        <v>1982</v>
      </c>
    </row>
    <row r="45" s="207" customFormat="1" ht="25" customHeight="1">
      <c r="A45" s="188">
        <v>42</v>
      </c>
      <c r="B45" s="189" t="s">
        <v>416</v>
      </c>
      <c r="C45" s="190" t="str">
        <f>IFERROR(VLOOKUP(B45,REFERENSI!$C$6:$D$15,2,FALSE)," ")</f>
        <v>04</v>
      </c>
      <c r="D45" s="191">
        <v>63</v>
      </c>
      <c r="E45" s="189" t="s">
        <v>76</v>
      </c>
      <c r="F45" s="190" t="str">
        <f>IFERROR(VLOOKUP(E45,REFERENSI!$F$5:$G$6,2,FALSE)," ")</f>
        <v>01</v>
      </c>
      <c r="G45" s="189" t="s">
        <v>535</v>
      </c>
      <c r="H45" s="192" t="str">
        <f t="shared" si="9"/>
        <v xml:space="preserve">19891126  201007 04 01 63</v>
      </c>
      <c r="I45" s="189" t="s">
        <v>347</v>
      </c>
      <c r="J45" s="193">
        <v>26</v>
      </c>
      <c r="K45" s="193">
        <v>11</v>
      </c>
      <c r="L45" s="193">
        <v>1989</v>
      </c>
      <c r="M45" s="194" t="str">
        <f t="shared" si="10"/>
        <v>19891126</v>
      </c>
      <c r="N45" s="193">
        <v>12</v>
      </c>
      <c r="O45" s="193" t="s">
        <v>349</v>
      </c>
      <c r="P45" s="195">
        <v>2010</v>
      </c>
      <c r="Q45" s="193">
        <v>12</v>
      </c>
      <c r="R45" s="193" t="s">
        <v>349</v>
      </c>
      <c r="S45" s="195">
        <v>2010</v>
      </c>
      <c r="T45" s="188">
        <f t="shared" si="8"/>
        <v>15</v>
      </c>
      <c r="U45" s="188">
        <f t="shared" si="11"/>
        <v>15</v>
      </c>
      <c r="V45" s="188">
        <f t="shared" si="12"/>
        <v>15</v>
      </c>
      <c r="W45" s="188">
        <f t="shared" si="13"/>
        <v>15</v>
      </c>
      <c r="X45" s="195" t="s">
        <v>357</v>
      </c>
      <c r="Y45" s="196" t="s">
        <v>536</v>
      </c>
      <c r="Z45" s="197">
        <v>2011</v>
      </c>
      <c r="AA45" s="195" t="s">
        <v>352</v>
      </c>
      <c r="AB45" s="195"/>
      <c r="AC45" s="188" t="str">
        <f>IFERROR(VLOOKUP(AD45,REFERENSI!$H$5:$I$13,2,FALSE)," ")</f>
        <v xml:space="preserve"> </v>
      </c>
      <c r="AD45" s="195"/>
      <c r="AE45" s="189" t="s">
        <v>491</v>
      </c>
      <c r="AF45" s="195">
        <v>15</v>
      </c>
      <c r="AG45" s="195" t="s">
        <v>326</v>
      </c>
      <c r="AH45" s="208" t="str">
        <f t="shared" si="14"/>
        <v>-</v>
      </c>
      <c r="AI45" s="198" t="str">
        <f t="shared" si="15"/>
        <v xml:space="preserve"> </v>
      </c>
      <c r="AJ45" s="195" t="s">
        <v>352</v>
      </c>
      <c r="AK45" s="195"/>
      <c r="AL45" s="199"/>
      <c r="AM45" s="213" t="s">
        <v>537</v>
      </c>
      <c r="AN45" s="214"/>
      <c r="AO45" s="142"/>
      <c r="BG45" s="204">
        <v>1983</v>
      </c>
    </row>
    <row r="46" s="207" customFormat="1" ht="25" customHeight="1">
      <c r="A46" s="188">
        <v>49</v>
      </c>
      <c r="B46" s="189" t="s">
        <v>416</v>
      </c>
      <c r="C46" s="190" t="str">
        <f>IFERROR(VLOOKUP(B46,REFERENSI!$C$6:$D$15,2,FALSE)," ")</f>
        <v>04</v>
      </c>
      <c r="D46" s="191">
        <v>95</v>
      </c>
      <c r="E46" s="189" t="s">
        <v>387</v>
      </c>
      <c r="F46" s="190" t="str">
        <f>IFERROR(VLOOKUP(E46,REFERENSI!$F$5:$G$6,2,FALSE)," ")</f>
        <v>02</v>
      </c>
      <c r="G46" s="189" t="s">
        <v>538</v>
      </c>
      <c r="H46" s="192" t="str">
        <f t="shared" si="9"/>
        <v xml:space="preserve">19600112  200507 04 02 95</v>
      </c>
      <c r="I46" s="189" t="s">
        <v>347</v>
      </c>
      <c r="J46" s="193">
        <v>12</v>
      </c>
      <c r="K46" s="193" t="s">
        <v>325</v>
      </c>
      <c r="L46" s="193">
        <v>1960</v>
      </c>
      <c r="M46" s="194" t="str">
        <f t="shared" si="10"/>
        <v>19600112</v>
      </c>
      <c r="N46" s="193" t="s">
        <v>325</v>
      </c>
      <c r="O46" s="193" t="s">
        <v>349</v>
      </c>
      <c r="P46" s="195">
        <v>2005</v>
      </c>
      <c r="Q46" s="193" t="s">
        <v>325</v>
      </c>
      <c r="R46" s="193" t="s">
        <v>349</v>
      </c>
      <c r="S46" s="195">
        <v>2005</v>
      </c>
      <c r="T46" s="188">
        <f t="shared" si="8"/>
        <v>20</v>
      </c>
      <c r="U46" s="188">
        <f t="shared" si="11"/>
        <v>20</v>
      </c>
      <c r="V46" s="188">
        <f t="shared" si="12"/>
        <v>20</v>
      </c>
      <c r="W46" s="188">
        <f t="shared" si="13"/>
        <v>20</v>
      </c>
      <c r="X46" s="195" t="s">
        <v>389</v>
      </c>
      <c r="Y46" s="196" t="s">
        <v>539</v>
      </c>
      <c r="Z46" s="197">
        <v>1979</v>
      </c>
      <c r="AA46" s="195" t="s">
        <v>352</v>
      </c>
      <c r="AB46" s="195"/>
      <c r="AC46" s="188" t="str">
        <f>IFERROR(VLOOKUP(AD46,[1]REFERENSI!$H$5:$I$13,2,FALSE)," ")</f>
        <v xml:space="preserve"> </v>
      </c>
      <c r="AD46" s="195"/>
      <c r="AE46" s="189"/>
      <c r="AF46" s="195"/>
      <c r="AG46" s="195" t="s">
        <v>326</v>
      </c>
      <c r="AH46" s="208" t="str">
        <f t="shared" si="14"/>
        <v>-</v>
      </c>
      <c r="AI46" s="198" t="str">
        <f t="shared" si="15"/>
        <v xml:space="preserve"> </v>
      </c>
      <c r="AJ46" s="195" t="s">
        <v>352</v>
      </c>
      <c r="AK46" s="195"/>
      <c r="AL46" s="199"/>
      <c r="AM46" s="213" t="s">
        <v>540</v>
      </c>
      <c r="AN46" s="214"/>
      <c r="AO46" s="142"/>
      <c r="BF46" s="203"/>
      <c r="BG46" s="204">
        <v>1990</v>
      </c>
      <c r="BK46" s="211" t="s">
        <v>380</v>
      </c>
      <c r="BL46" s="204">
        <v>12</v>
      </c>
    </row>
    <row r="47" s="207" customFormat="1" ht="25" customHeight="1">
      <c r="A47" s="188">
        <v>50</v>
      </c>
      <c r="B47" s="189" t="s">
        <v>416</v>
      </c>
      <c r="C47" s="190" t="str">
        <f>IFERROR(VLOOKUP(B47,REFERENSI!$C$6:$D$15,2,FALSE)," ")</f>
        <v>04</v>
      </c>
      <c r="D47" s="191">
        <v>26</v>
      </c>
      <c r="E47" s="189" t="s">
        <v>76</v>
      </c>
      <c r="F47" s="190" t="str">
        <f>IFERROR(VLOOKUP(E47,REFERENSI!$F$5:$G$6,2,FALSE)," ")</f>
        <v>01</v>
      </c>
      <c r="G47" s="189" t="s">
        <v>541</v>
      </c>
      <c r="H47" s="192" t="str">
        <f t="shared" si="9"/>
        <v xml:space="preserve">19910420  201007 04 01 26</v>
      </c>
      <c r="I47" s="189" t="s">
        <v>347</v>
      </c>
      <c r="J47" s="193">
        <v>20</v>
      </c>
      <c r="K47" s="193" t="s">
        <v>348</v>
      </c>
      <c r="L47" s="193">
        <v>1991</v>
      </c>
      <c r="M47" s="194" t="str">
        <f t="shared" si="10"/>
        <v>19910420</v>
      </c>
      <c r="N47" s="193">
        <v>12</v>
      </c>
      <c r="O47" s="193" t="s">
        <v>349</v>
      </c>
      <c r="P47" s="195">
        <v>2010</v>
      </c>
      <c r="Q47" s="193">
        <v>12</v>
      </c>
      <c r="R47" s="193" t="s">
        <v>349</v>
      </c>
      <c r="S47" s="195">
        <v>2010</v>
      </c>
      <c r="T47" s="188">
        <f t="shared" si="8"/>
        <v>15</v>
      </c>
      <c r="U47" s="188">
        <f t="shared" si="11"/>
        <v>15</v>
      </c>
      <c r="V47" s="188">
        <f t="shared" si="12"/>
        <v>15</v>
      </c>
      <c r="W47" s="188">
        <f t="shared" si="13"/>
        <v>15</v>
      </c>
      <c r="X47" s="195" t="s">
        <v>357</v>
      </c>
      <c r="Y47" s="196" t="s">
        <v>542</v>
      </c>
      <c r="Z47" s="197"/>
      <c r="AA47" s="195"/>
      <c r="AB47" s="195"/>
      <c r="AC47" s="188" t="str">
        <f>IFERROR(VLOOKUP(AD47,'[1]REFERENSI'!$H$5:$I$13,2,FALSE)," ")</f>
        <v xml:space="preserve"> </v>
      </c>
      <c r="AD47" s="195"/>
      <c r="AE47" s="189"/>
      <c r="AF47" s="195"/>
      <c r="AG47" s="195" t="s">
        <v>326</v>
      </c>
      <c r="AH47" s="208" t="str">
        <f t="shared" si="14"/>
        <v>-</v>
      </c>
      <c r="AI47" s="198" t="str">
        <f t="shared" si="15"/>
        <v xml:space="preserve"> </v>
      </c>
      <c r="AJ47" s="195" t="s">
        <v>352</v>
      </c>
      <c r="AK47" s="195"/>
      <c r="AL47" s="199"/>
      <c r="AM47" s="213" t="s">
        <v>543</v>
      </c>
      <c r="AN47" s="214"/>
      <c r="AO47" s="142"/>
      <c r="BF47" s="203"/>
      <c r="BG47" s="204">
        <v>1991</v>
      </c>
      <c r="BK47" s="211" t="s">
        <v>386</v>
      </c>
      <c r="BL47" s="204">
        <v>12</v>
      </c>
    </row>
    <row r="48" s="207" customFormat="1" ht="25" customHeight="1">
      <c r="A48" s="188">
        <v>51</v>
      </c>
      <c r="B48" s="189" t="s">
        <v>416</v>
      </c>
      <c r="C48" s="190" t="str">
        <f>IFERROR(VLOOKUP(B48,REFERENSI!$C$6:$D$15,2,FALSE)," ")</f>
        <v>04</v>
      </c>
      <c r="D48" s="191"/>
      <c r="E48" s="189" t="s">
        <v>76</v>
      </c>
      <c r="F48" s="190" t="str">
        <f>IFERROR(VLOOKUP(E48,REFERENSI!$F$5:$G$6,2,FALSE)," ")</f>
        <v>01</v>
      </c>
      <c r="G48" s="189" t="s">
        <v>544</v>
      </c>
      <c r="H48" s="192" t="str">
        <f t="shared" si="9"/>
        <v xml:space="preserve">19960110  201407 04 01 </v>
      </c>
      <c r="I48" s="189" t="s">
        <v>347</v>
      </c>
      <c r="J48" s="193">
        <v>10</v>
      </c>
      <c r="K48" s="193" t="s">
        <v>325</v>
      </c>
      <c r="L48" s="193">
        <v>1996</v>
      </c>
      <c r="M48" s="194" t="str">
        <f t="shared" si="10"/>
        <v>19960110</v>
      </c>
      <c r="N48" s="193" t="s">
        <v>325</v>
      </c>
      <c r="O48" s="193" t="s">
        <v>349</v>
      </c>
      <c r="P48" s="195">
        <v>2014</v>
      </c>
      <c r="Q48" s="193" t="s">
        <v>325</v>
      </c>
      <c r="R48" s="193" t="s">
        <v>349</v>
      </c>
      <c r="S48" s="195">
        <v>2014</v>
      </c>
      <c r="T48" s="188">
        <f t="shared" si="8"/>
        <v>11</v>
      </c>
      <c r="U48" s="188">
        <f t="shared" si="11"/>
        <v>11</v>
      </c>
      <c r="V48" s="188">
        <f t="shared" si="12"/>
        <v>11</v>
      </c>
      <c r="W48" s="188">
        <f t="shared" si="13"/>
        <v>11</v>
      </c>
      <c r="X48" s="195" t="s">
        <v>357</v>
      </c>
      <c r="Y48" s="196" t="s">
        <v>444</v>
      </c>
      <c r="Z48" s="197">
        <v>2018</v>
      </c>
      <c r="AA48" s="195" t="s">
        <v>352</v>
      </c>
      <c r="AB48" s="195"/>
      <c r="AC48" s="188" t="str">
        <f>IFERROR(VLOOKUP(AD48,'[1]REFERENSI'!$H$5:$I$13,2,FALSE)," ")</f>
        <v xml:space="preserve"> </v>
      </c>
      <c r="AD48" s="195"/>
      <c r="AE48" s="189"/>
      <c r="AF48" s="195"/>
      <c r="AG48" s="195" t="s">
        <v>326</v>
      </c>
      <c r="AH48" s="208" t="str">
        <f t="shared" si="14"/>
        <v>-</v>
      </c>
      <c r="AI48" s="198" t="str">
        <f t="shared" si="15"/>
        <v xml:space="preserve"> </v>
      </c>
      <c r="AJ48" s="195" t="s">
        <v>352</v>
      </c>
      <c r="AK48" s="195"/>
      <c r="AL48" s="209"/>
      <c r="AM48" s="209"/>
      <c r="AN48" s="210"/>
      <c r="AO48" s="142"/>
      <c r="BF48" s="203"/>
      <c r="BG48" s="204">
        <v>1992</v>
      </c>
      <c r="BK48" s="211" t="s">
        <v>394</v>
      </c>
      <c r="BL48" s="204">
        <v>12</v>
      </c>
    </row>
    <row r="49" s="207" customFormat="1" ht="25" customHeight="1">
      <c r="A49" s="188">
        <v>52</v>
      </c>
      <c r="B49" s="189" t="s">
        <v>416</v>
      </c>
      <c r="C49" s="190" t="str">
        <f>IFERROR(VLOOKUP(B49,REFERENSI!$C$6:$D$15,2,FALSE)," ")</f>
        <v>04</v>
      </c>
      <c r="D49" s="191">
        <v>82</v>
      </c>
      <c r="E49" s="189" t="s">
        <v>76</v>
      </c>
      <c r="F49" s="190" t="str">
        <f>IFERROR(VLOOKUP(E49,REFERENSI!$F$5:$G$6,2,FALSE)," ")</f>
        <v>01</v>
      </c>
      <c r="G49" s="189" t="s">
        <v>545</v>
      </c>
      <c r="H49" s="192" t="str">
        <f t="shared" si="9"/>
        <v xml:space="preserve">19950407  201407 04 01 82</v>
      </c>
      <c r="I49" s="189" t="s">
        <v>347</v>
      </c>
      <c r="J49" s="193" t="s">
        <v>349</v>
      </c>
      <c r="K49" s="193" t="s">
        <v>348</v>
      </c>
      <c r="L49" s="193">
        <v>1995</v>
      </c>
      <c r="M49" s="194" t="str">
        <f t="shared" si="10"/>
        <v>19950407</v>
      </c>
      <c r="N49" s="193" t="s">
        <v>325</v>
      </c>
      <c r="O49" s="193" t="s">
        <v>349</v>
      </c>
      <c r="P49" s="195">
        <v>2014</v>
      </c>
      <c r="Q49" s="193" t="s">
        <v>325</v>
      </c>
      <c r="R49" s="193" t="s">
        <v>349</v>
      </c>
      <c r="S49" s="195">
        <v>2014</v>
      </c>
      <c r="T49" s="188">
        <f t="shared" si="8"/>
        <v>11</v>
      </c>
      <c r="U49" s="188">
        <f t="shared" si="11"/>
        <v>11</v>
      </c>
      <c r="V49" s="188">
        <f t="shared" si="12"/>
        <v>11</v>
      </c>
      <c r="W49" s="188">
        <f t="shared" si="13"/>
        <v>11</v>
      </c>
      <c r="X49" s="195" t="s">
        <v>357</v>
      </c>
      <c r="Y49" s="196" t="s">
        <v>546</v>
      </c>
      <c r="Z49" s="197">
        <v>2017</v>
      </c>
      <c r="AA49" s="195" t="s">
        <v>352</v>
      </c>
      <c r="AB49" s="195"/>
      <c r="AC49" s="188" t="str">
        <f>IFERROR(VLOOKUP(AD49,'[1]REFERENSI'!$H$5:$I$13,2,FALSE)," ")</f>
        <v xml:space="preserve"> </v>
      </c>
      <c r="AD49" s="195"/>
      <c r="AE49" s="189"/>
      <c r="AF49" s="195"/>
      <c r="AG49" s="195" t="s">
        <v>326</v>
      </c>
      <c r="AH49" s="208" t="str">
        <f t="shared" si="14"/>
        <v>-</v>
      </c>
      <c r="AI49" s="198" t="str">
        <f t="shared" si="15"/>
        <v xml:space="preserve"> </v>
      </c>
      <c r="AJ49" s="195" t="s">
        <v>352</v>
      </c>
      <c r="AK49" s="195"/>
      <c r="AL49" s="199"/>
      <c r="AM49" s="209"/>
      <c r="AN49" s="210"/>
      <c r="AO49" s="142"/>
      <c r="BF49" s="204"/>
      <c r="BG49" s="204">
        <v>1993</v>
      </c>
      <c r="BK49" s="211" t="s">
        <v>401</v>
      </c>
      <c r="BL49" s="204">
        <v>12</v>
      </c>
    </row>
    <row r="50" s="207" customFormat="1" ht="25" customHeight="1">
      <c r="A50" s="188">
        <v>53</v>
      </c>
      <c r="B50" s="189" t="s">
        <v>416</v>
      </c>
      <c r="C50" s="190" t="str">
        <f>IFERROR(VLOOKUP(B50,REFERENSI!$C$6:$D$15,2,FALSE)," ")</f>
        <v>04</v>
      </c>
      <c r="D50" s="191"/>
      <c r="E50" s="189" t="s">
        <v>76</v>
      </c>
      <c r="F50" s="190" t="str">
        <f>IFERROR(VLOOKUP(E50,REFERENSI!$F$5:$G$6,2,FALSE)," ")</f>
        <v>01</v>
      </c>
      <c r="G50" s="189" t="s">
        <v>547</v>
      </c>
      <c r="H50" s="192" t="str">
        <f t="shared" si="9"/>
        <v xml:space="preserve">19920219  201407 04 01 </v>
      </c>
      <c r="I50" s="189" t="s">
        <v>347</v>
      </c>
      <c r="J50" s="193">
        <v>19</v>
      </c>
      <c r="K50" s="193" t="s">
        <v>343</v>
      </c>
      <c r="L50" s="193">
        <v>1992</v>
      </c>
      <c r="M50" s="194" t="str">
        <f t="shared" si="10"/>
        <v>19920219</v>
      </c>
      <c r="N50" s="193" t="s">
        <v>325</v>
      </c>
      <c r="O50" s="193" t="s">
        <v>349</v>
      </c>
      <c r="P50" s="195">
        <v>2014</v>
      </c>
      <c r="Q50" s="193" t="s">
        <v>325</v>
      </c>
      <c r="R50" s="193" t="s">
        <v>349</v>
      </c>
      <c r="S50" s="195">
        <v>2014</v>
      </c>
      <c r="T50" s="188">
        <f t="shared" si="8"/>
        <v>11</v>
      </c>
      <c r="U50" s="188">
        <f t="shared" si="11"/>
        <v>11</v>
      </c>
      <c r="V50" s="188">
        <f t="shared" si="12"/>
        <v>11</v>
      </c>
      <c r="W50" s="188">
        <f t="shared" si="13"/>
        <v>11</v>
      </c>
      <c r="X50" s="195" t="s">
        <v>357</v>
      </c>
      <c r="Y50" s="196" t="s">
        <v>548</v>
      </c>
      <c r="Z50" s="197"/>
      <c r="AA50" s="195" t="s">
        <v>352</v>
      </c>
      <c r="AB50" s="195"/>
      <c r="AC50" s="188" t="str">
        <f>IFERROR(VLOOKUP(AD50,'[1]REFERENSI'!$H$5:$I$13,2,FALSE)," ")</f>
        <v xml:space="preserve"> </v>
      </c>
      <c r="AD50" s="195"/>
      <c r="AE50" s="189"/>
      <c r="AF50" s="195"/>
      <c r="AG50" s="195" t="s">
        <v>326</v>
      </c>
      <c r="AH50" s="208" t="str">
        <f t="shared" si="14"/>
        <v>-</v>
      </c>
      <c r="AI50" s="198" t="str">
        <f t="shared" si="15"/>
        <v xml:space="preserve"> </v>
      </c>
      <c r="AJ50" s="195" t="s">
        <v>352</v>
      </c>
      <c r="AK50" s="195"/>
      <c r="AL50" s="199"/>
      <c r="AM50" s="209"/>
      <c r="AN50" s="210"/>
      <c r="AO50" s="142"/>
      <c r="BF50" s="204"/>
      <c r="BG50" s="204">
        <v>1994</v>
      </c>
      <c r="BK50" s="211" t="s">
        <v>405</v>
      </c>
      <c r="BL50" s="204">
        <v>12</v>
      </c>
    </row>
    <row r="51" s="207" customFormat="1" ht="25" customHeight="1">
      <c r="A51" s="188">
        <v>54</v>
      </c>
      <c r="B51" s="189" t="s">
        <v>416</v>
      </c>
      <c r="C51" s="190" t="str">
        <f>IFERROR(VLOOKUP(B51,REFERENSI!$C$6:$D$15,2,FALSE)," ")</f>
        <v>04</v>
      </c>
      <c r="D51" s="191">
        <v>61</v>
      </c>
      <c r="E51" s="189" t="s">
        <v>76</v>
      </c>
      <c r="F51" s="190" t="str">
        <f>IFERROR(VLOOKUP(E51,REFERENSI!$F$5:$G$6,2,FALSE)," ")</f>
        <v>01</v>
      </c>
      <c r="G51" s="189" t="s">
        <v>549</v>
      </c>
      <c r="H51" s="192" t="str">
        <f t="shared" si="9"/>
        <v xml:space="preserve">19910525  201807 04 01 61</v>
      </c>
      <c r="I51" s="189" t="s">
        <v>347</v>
      </c>
      <c r="J51" s="193">
        <v>25</v>
      </c>
      <c r="K51" s="193" t="s">
        <v>368</v>
      </c>
      <c r="L51" s="193">
        <v>1991</v>
      </c>
      <c r="M51" s="194" t="str">
        <f t="shared" si="10"/>
        <v>19910525</v>
      </c>
      <c r="N51" s="193" t="s">
        <v>427</v>
      </c>
      <c r="O51" s="193" t="s">
        <v>349</v>
      </c>
      <c r="P51" s="195">
        <v>2018</v>
      </c>
      <c r="Q51" s="193" t="s">
        <v>427</v>
      </c>
      <c r="R51" s="193" t="s">
        <v>349</v>
      </c>
      <c r="S51" s="195">
        <v>2018</v>
      </c>
      <c r="T51" s="188">
        <f t="shared" si="8"/>
        <v>7</v>
      </c>
      <c r="U51" s="188">
        <f t="shared" si="11"/>
        <v>7</v>
      </c>
      <c r="V51" s="188">
        <f t="shared" si="12"/>
        <v>7</v>
      </c>
      <c r="W51" s="188">
        <f t="shared" si="13"/>
        <v>7</v>
      </c>
      <c r="X51" s="195" t="s">
        <v>357</v>
      </c>
      <c r="Y51" s="196" t="s">
        <v>490</v>
      </c>
      <c r="Z51" s="197"/>
      <c r="AA51" s="195" t="s">
        <v>352</v>
      </c>
      <c r="AB51" s="195"/>
      <c r="AC51" s="188" t="str">
        <f>IFERROR(VLOOKUP(AD51,'[1]REFERENSI'!$H$5:$I$13,2,FALSE)," ")</f>
        <v xml:space="preserve"> </v>
      </c>
      <c r="AD51" s="195"/>
      <c r="AE51" s="189"/>
      <c r="AF51" s="195"/>
      <c r="AG51" s="195" t="s">
        <v>326</v>
      </c>
      <c r="AH51" s="208" t="str">
        <f t="shared" si="14"/>
        <v>-</v>
      </c>
      <c r="AI51" s="198" t="str">
        <f t="shared" si="15"/>
        <v xml:space="preserve"> </v>
      </c>
      <c r="AJ51" s="195" t="s">
        <v>352</v>
      </c>
      <c r="AK51" s="195"/>
      <c r="AL51" s="199"/>
      <c r="AM51" s="209"/>
      <c r="AN51" s="210"/>
      <c r="AO51" s="142"/>
      <c r="BF51" s="204"/>
      <c r="BG51" s="204">
        <v>1995</v>
      </c>
      <c r="BK51" s="211" t="s">
        <v>415</v>
      </c>
      <c r="BL51" s="212" t="s">
        <v>326</v>
      </c>
    </row>
    <row r="52" s="207" customFormat="1" ht="25" customHeight="1">
      <c r="A52" s="188">
        <v>55</v>
      </c>
      <c r="B52" s="189" t="s">
        <v>550</v>
      </c>
      <c r="C52" s="190" t="str">
        <f>IFERROR(VLOOKUP(B52,REFERENSI!$C$6:$D$15,2,FALSE)," ")</f>
        <v>06</v>
      </c>
      <c r="D52" s="191">
        <v>72</v>
      </c>
      <c r="E52" s="189" t="s">
        <v>76</v>
      </c>
      <c r="F52" s="190" t="str">
        <f>IFERROR(VLOOKUP(E52,REFERENSI!$F$5:$G$6,2,FALSE)," ")</f>
        <v>01</v>
      </c>
      <c r="G52" s="189" t="s">
        <v>551</v>
      </c>
      <c r="H52" s="192" t="str">
        <f t="shared" si="9"/>
        <v xml:space="preserve">19640202  200207 06 01 72</v>
      </c>
      <c r="I52" s="189" t="s">
        <v>347</v>
      </c>
      <c r="J52" s="193" t="s">
        <v>343</v>
      </c>
      <c r="K52" s="193" t="s">
        <v>343</v>
      </c>
      <c r="L52" s="193">
        <v>1964</v>
      </c>
      <c r="M52" s="194" t="str">
        <f t="shared" si="10"/>
        <v>19640202</v>
      </c>
      <c r="N52" s="193" t="s">
        <v>325</v>
      </c>
      <c r="O52" s="193" t="s">
        <v>349</v>
      </c>
      <c r="P52" s="195">
        <v>2002</v>
      </c>
      <c r="Q52" s="193" t="s">
        <v>325</v>
      </c>
      <c r="R52" s="193" t="s">
        <v>349</v>
      </c>
      <c r="S52" s="195">
        <v>2002</v>
      </c>
      <c r="T52" s="188">
        <f t="shared" si="8"/>
        <v>23</v>
      </c>
      <c r="U52" s="188">
        <f t="shared" si="11"/>
        <v>23</v>
      </c>
      <c r="V52" s="188">
        <f t="shared" si="12"/>
        <v>23</v>
      </c>
      <c r="W52" s="188">
        <f t="shared" si="13"/>
        <v>23</v>
      </c>
      <c r="X52" s="195" t="s">
        <v>357</v>
      </c>
      <c r="Y52" s="196" t="s">
        <v>351</v>
      </c>
      <c r="Z52" s="197">
        <v>2011</v>
      </c>
      <c r="AA52" s="195"/>
      <c r="AB52" s="195"/>
      <c r="AC52" s="188" t="str">
        <f>IFERROR(VLOOKUP(AD52,'[1]REFERENSI'!$H$5:$I$13,2,FALSE)," ")</f>
        <v xml:space="preserve"> </v>
      </c>
      <c r="AD52" s="195"/>
      <c r="AE52" s="189" t="s">
        <v>552</v>
      </c>
      <c r="AF52" s="195">
        <v>10</v>
      </c>
      <c r="AG52" s="195" t="s">
        <v>327</v>
      </c>
      <c r="AH52" s="208">
        <f t="shared" si="14"/>
        <v>18</v>
      </c>
      <c r="AI52" s="198">
        <f t="shared" si="15"/>
        <v>28</v>
      </c>
      <c r="AJ52" s="195"/>
      <c r="AK52" s="195"/>
      <c r="AL52" s="199"/>
      <c r="AM52" s="199"/>
      <c r="AN52" s="201"/>
      <c r="AO52" s="142"/>
      <c r="BF52" s="204"/>
      <c r="BG52" s="204">
        <v>1996</v>
      </c>
      <c r="BK52" s="204" t="s">
        <v>326</v>
      </c>
      <c r="BL52" s="212" t="s">
        <v>326</v>
      </c>
    </row>
    <row r="53" s="207" customFormat="1" ht="25" customHeight="1">
      <c r="A53" s="188">
        <v>56</v>
      </c>
      <c r="B53" s="189" t="s">
        <v>483</v>
      </c>
      <c r="C53" s="190" t="str">
        <f>IFERROR(VLOOKUP(B53,REFERENSI!$C$6:$D$15,2,FALSE)," ")</f>
        <v>07</v>
      </c>
      <c r="D53" s="191">
        <v>87</v>
      </c>
      <c r="E53" s="189" t="s">
        <v>76</v>
      </c>
      <c r="F53" s="190" t="str">
        <f>IFERROR(VLOOKUP(E53,REFERENSI!$F$5:$G$6,2,FALSE)," ")</f>
        <v>01</v>
      </c>
      <c r="G53" s="189" t="s">
        <v>553</v>
      </c>
      <c r="H53" s="192" t="str">
        <f t="shared" si="9"/>
        <v xml:space="preserve">19751012  200507 07 01 87</v>
      </c>
      <c r="I53" s="189" t="s">
        <v>347</v>
      </c>
      <c r="J53" s="193">
        <v>12</v>
      </c>
      <c r="K53" s="193">
        <v>10</v>
      </c>
      <c r="L53" s="193">
        <v>1975</v>
      </c>
      <c r="M53" s="194" t="str">
        <f t="shared" si="10"/>
        <v>19751012</v>
      </c>
      <c r="N53" s="193" t="s">
        <v>423</v>
      </c>
      <c r="O53" s="193" t="s">
        <v>349</v>
      </c>
      <c r="P53" s="195">
        <v>2005</v>
      </c>
      <c r="Q53" s="193" t="s">
        <v>423</v>
      </c>
      <c r="R53" s="193" t="s">
        <v>349</v>
      </c>
      <c r="S53" s="195">
        <v>2005</v>
      </c>
      <c r="T53" s="188">
        <f t="shared" si="8"/>
        <v>20</v>
      </c>
      <c r="U53" s="188">
        <f t="shared" si="11"/>
        <v>20</v>
      </c>
      <c r="V53" s="188">
        <f t="shared" si="12"/>
        <v>20</v>
      </c>
      <c r="W53" s="188">
        <f t="shared" si="13"/>
        <v>20</v>
      </c>
      <c r="X53" s="195" t="s">
        <v>357</v>
      </c>
      <c r="Y53" s="196" t="s">
        <v>351</v>
      </c>
      <c r="Z53" s="197">
        <v>1999</v>
      </c>
      <c r="AA53" s="195"/>
      <c r="AB53" s="195"/>
      <c r="AC53" s="188" t="str">
        <f>IFERROR(VLOOKUP(AD53,'[1]REFERENSI'!$H$5:$I$13,2,FALSE)," ")</f>
        <v xml:space="preserve"> </v>
      </c>
      <c r="AD53" s="195"/>
      <c r="AE53" s="189" t="s">
        <v>554</v>
      </c>
      <c r="AF53" s="195">
        <v>24</v>
      </c>
      <c r="AG53" s="195" t="s">
        <v>326</v>
      </c>
      <c r="AH53" s="208" t="str">
        <f t="shared" si="14"/>
        <v>-</v>
      </c>
      <c r="AI53" s="198" t="str">
        <f t="shared" si="15"/>
        <v xml:space="preserve"> </v>
      </c>
      <c r="AJ53" s="195"/>
      <c r="AK53" s="195"/>
      <c r="AL53" s="199"/>
      <c r="AM53" s="199"/>
      <c r="AN53" s="201"/>
      <c r="AO53" s="142"/>
      <c r="BF53" s="204"/>
      <c r="BG53" s="204">
        <v>1997</v>
      </c>
    </row>
    <row r="54" s="207" customFormat="1" ht="25" customHeight="1">
      <c r="A54" s="188">
        <v>57</v>
      </c>
      <c r="B54" s="189" t="s">
        <v>550</v>
      </c>
      <c r="C54" s="190" t="str">
        <f>IFERROR(VLOOKUP(B54,REFERENSI!$C$6:$D$15,2,FALSE)," ")</f>
        <v>06</v>
      </c>
      <c r="D54" s="191"/>
      <c r="E54" s="189" t="s">
        <v>76</v>
      </c>
      <c r="F54" s="190" t="str">
        <f>IFERROR(VLOOKUP(E54,REFERENSI!$F$5:$G$6,2,FALSE)," ")</f>
        <v>01</v>
      </c>
      <c r="G54" s="189" t="s">
        <v>555</v>
      </c>
      <c r="H54" s="192" t="str">
        <f t="shared" si="9"/>
        <v xml:space="preserve">19840327  200607 06 01 </v>
      </c>
      <c r="I54" s="189" t="s">
        <v>347</v>
      </c>
      <c r="J54" s="193">
        <v>27</v>
      </c>
      <c r="K54" s="193" t="s">
        <v>354</v>
      </c>
      <c r="L54" s="193">
        <v>1984</v>
      </c>
      <c r="M54" s="194" t="str">
        <f t="shared" si="10"/>
        <v>19840327</v>
      </c>
      <c r="N54" s="193">
        <v>17</v>
      </c>
      <c r="O54" s="193" t="s">
        <v>349</v>
      </c>
      <c r="P54" s="195">
        <v>2006</v>
      </c>
      <c r="Q54" s="193">
        <v>17</v>
      </c>
      <c r="R54" s="193" t="s">
        <v>349</v>
      </c>
      <c r="S54" s="195">
        <v>2006</v>
      </c>
      <c r="T54" s="188">
        <f t="shared" si="8"/>
        <v>19</v>
      </c>
      <c r="U54" s="188">
        <f t="shared" si="11"/>
        <v>19</v>
      </c>
      <c r="V54" s="188">
        <f t="shared" si="12"/>
        <v>19</v>
      </c>
      <c r="W54" s="188">
        <f t="shared" si="13"/>
        <v>19</v>
      </c>
      <c r="X54" s="195" t="s">
        <v>357</v>
      </c>
      <c r="Y54" s="196" t="s">
        <v>556</v>
      </c>
      <c r="Z54" s="197">
        <v>2005</v>
      </c>
      <c r="AA54" s="195"/>
      <c r="AB54" s="195" t="s">
        <v>557</v>
      </c>
      <c r="AC54" s="188" t="str">
        <f>IFERROR(VLOOKUP(AD54,'[1]REFERENSI'!$H$5:$I$13,2,FALSE)," ")</f>
        <v xml:space="preserve"> </v>
      </c>
      <c r="AD54" s="195" t="s">
        <v>398</v>
      </c>
      <c r="AE54" s="189" t="s">
        <v>558</v>
      </c>
      <c r="AF54" s="195">
        <v>24</v>
      </c>
      <c r="AG54" s="195" t="s">
        <v>326</v>
      </c>
      <c r="AH54" s="208" t="str">
        <f t="shared" si="14"/>
        <v>-</v>
      </c>
      <c r="AI54" s="198" t="str">
        <f t="shared" si="15"/>
        <v xml:space="preserve"> </v>
      </c>
      <c r="AJ54" s="195"/>
      <c r="AK54" s="195"/>
      <c r="AL54" s="199"/>
      <c r="AM54" s="199"/>
      <c r="AN54" s="201"/>
      <c r="AO54" s="142"/>
      <c r="BF54" s="204"/>
      <c r="BG54" s="204">
        <v>1998</v>
      </c>
    </row>
    <row r="55" s="207" customFormat="1" ht="25" customHeight="1">
      <c r="A55" s="188">
        <v>58</v>
      </c>
      <c r="B55" s="189" t="s">
        <v>550</v>
      </c>
      <c r="C55" s="190" t="str">
        <f>IFERROR(VLOOKUP(B55,REFERENSI!$C$6:$D$15,2,FALSE)," ")</f>
        <v>06</v>
      </c>
      <c r="D55" s="191"/>
      <c r="E55" s="189" t="s">
        <v>76</v>
      </c>
      <c r="F55" s="190" t="str">
        <f>IFERROR(VLOOKUP(E55,REFERENSI!$F$5:$G$6,2,FALSE)," ")</f>
        <v>01</v>
      </c>
      <c r="G55" s="189" t="s">
        <v>559</v>
      </c>
      <c r="H55" s="192" t="str">
        <f t="shared" si="9"/>
        <v xml:space="preserve">19871005  200707 06 01 </v>
      </c>
      <c r="I55" s="189" t="s">
        <v>347</v>
      </c>
      <c r="J55" s="193" t="s">
        <v>368</v>
      </c>
      <c r="K55" s="193">
        <v>10</v>
      </c>
      <c r="L55" s="193">
        <v>1987</v>
      </c>
      <c r="M55" s="194" t="str">
        <f t="shared" si="10"/>
        <v>19871005</v>
      </c>
      <c r="N55" s="193">
        <v>16</v>
      </c>
      <c r="O55" s="193" t="s">
        <v>349</v>
      </c>
      <c r="P55" s="195">
        <v>2007</v>
      </c>
      <c r="Q55" s="193">
        <v>16</v>
      </c>
      <c r="R55" s="193" t="s">
        <v>349</v>
      </c>
      <c r="S55" s="195">
        <v>2007</v>
      </c>
      <c r="T55" s="188">
        <f t="shared" si="8"/>
        <v>18</v>
      </c>
      <c r="U55" s="188">
        <f t="shared" si="11"/>
        <v>18</v>
      </c>
      <c r="V55" s="188">
        <f t="shared" si="12"/>
        <v>18</v>
      </c>
      <c r="W55" s="188">
        <f t="shared" si="13"/>
        <v>18</v>
      </c>
      <c r="X55" s="195" t="s">
        <v>357</v>
      </c>
      <c r="Y55" s="196" t="s">
        <v>558</v>
      </c>
      <c r="Z55" s="197">
        <v>2013</v>
      </c>
      <c r="AA55" s="195"/>
      <c r="AB55" s="195"/>
      <c r="AC55" s="188" t="str">
        <f>IFERROR(VLOOKUP(AD55,'[1]REFERENSI'!$H$5:$I$13,2,FALSE)," ")</f>
        <v xml:space="preserve"> </v>
      </c>
      <c r="AD55" s="195"/>
      <c r="AE55" s="189" t="s">
        <v>560</v>
      </c>
      <c r="AF55" s="195">
        <v>12</v>
      </c>
      <c r="AG55" s="195" t="s">
        <v>326</v>
      </c>
      <c r="AH55" s="208" t="str">
        <f t="shared" si="14"/>
        <v>-</v>
      </c>
      <c r="AI55" s="198" t="str">
        <f t="shared" si="15"/>
        <v xml:space="preserve"> </v>
      </c>
      <c r="AJ55" s="195"/>
      <c r="AK55" s="195"/>
      <c r="AL55" s="199"/>
      <c r="AM55" s="199"/>
      <c r="AN55" s="201"/>
      <c r="AO55" s="142"/>
      <c r="BF55" s="204"/>
      <c r="BG55" s="204">
        <v>1999</v>
      </c>
    </row>
    <row r="56" s="207" customFormat="1" ht="25" customHeight="1">
      <c r="A56" s="188">
        <v>59</v>
      </c>
      <c r="B56" s="189" t="s">
        <v>550</v>
      </c>
      <c r="C56" s="190" t="str">
        <f>IFERROR(VLOOKUP(B56,REFERENSI!$C$6:$D$15,2,FALSE)," ")</f>
        <v>06</v>
      </c>
      <c r="D56" s="191" t="s">
        <v>325</v>
      </c>
      <c r="E56" s="189" t="s">
        <v>76</v>
      </c>
      <c r="F56" s="190" t="str">
        <f>IFERROR(VLOOKUP(E56,REFERENSI!$F$5:$G$6,2,FALSE)," ")</f>
        <v>01</v>
      </c>
      <c r="G56" s="189" t="s">
        <v>561</v>
      </c>
      <c r="H56" s="192" t="str">
        <f t="shared" si="9"/>
        <v xml:space="preserve">19820929  200707 06 01 01</v>
      </c>
      <c r="I56" s="189" t="s">
        <v>347</v>
      </c>
      <c r="J56" s="193" t="s">
        <v>488</v>
      </c>
      <c r="K56" s="193" t="s">
        <v>393</v>
      </c>
      <c r="L56" s="193">
        <v>1982</v>
      </c>
      <c r="M56" s="194" t="str">
        <f t="shared" si="10"/>
        <v>19820929</v>
      </c>
      <c r="N56" s="193">
        <v>17</v>
      </c>
      <c r="O56" s="193" t="s">
        <v>349</v>
      </c>
      <c r="P56" s="195">
        <v>2007</v>
      </c>
      <c r="Q56" s="193">
        <v>17</v>
      </c>
      <c r="R56" s="193" t="s">
        <v>349</v>
      </c>
      <c r="S56" s="195">
        <v>2007</v>
      </c>
      <c r="T56" s="188">
        <f t="shared" si="8"/>
        <v>18</v>
      </c>
      <c r="U56" s="188">
        <f t="shared" si="11"/>
        <v>18</v>
      </c>
      <c r="V56" s="188">
        <f t="shared" si="12"/>
        <v>18</v>
      </c>
      <c r="W56" s="188">
        <f t="shared" si="13"/>
        <v>18</v>
      </c>
      <c r="X56" s="195" t="s">
        <v>357</v>
      </c>
      <c r="Y56" s="196" t="s">
        <v>562</v>
      </c>
      <c r="Z56" s="197">
        <v>2006</v>
      </c>
      <c r="AA56" s="195"/>
      <c r="AB56" s="195"/>
      <c r="AC56" s="188" t="str">
        <f>IFERROR(VLOOKUP(AD56,'[1]REFERENSI'!$H$5:$I$13,2,FALSE)," ")</f>
        <v xml:space="preserve"> </v>
      </c>
      <c r="AD56" s="195"/>
      <c r="AE56" s="189" t="s">
        <v>563</v>
      </c>
      <c r="AF56" s="195">
        <v>6</v>
      </c>
      <c r="AG56" s="195" t="s">
        <v>374</v>
      </c>
      <c r="AH56" s="208">
        <f t="shared" si="14"/>
        <v>12</v>
      </c>
      <c r="AI56" s="198">
        <f t="shared" si="15"/>
        <v>18</v>
      </c>
      <c r="AJ56" s="195"/>
      <c r="AK56" s="195"/>
      <c r="AL56" s="199"/>
      <c r="AM56" s="199"/>
      <c r="AN56" s="201"/>
      <c r="AO56" s="142"/>
      <c r="BF56" s="204"/>
      <c r="BG56" s="204">
        <v>2000</v>
      </c>
    </row>
    <row r="57" s="207" customFormat="1" ht="25" customHeight="1">
      <c r="A57" s="188">
        <v>60</v>
      </c>
      <c r="B57" s="189" t="s">
        <v>550</v>
      </c>
      <c r="C57" s="190" t="str">
        <f>IFERROR(VLOOKUP(B57,REFERENSI!$C$6:$D$15,2,FALSE)," ")</f>
        <v>06</v>
      </c>
      <c r="D57" s="191">
        <v>34</v>
      </c>
      <c r="E57" s="189" t="s">
        <v>76</v>
      </c>
      <c r="F57" s="190" t="str">
        <f>IFERROR(VLOOKUP(E57,REFERENSI!$F$5:$G$6,2,FALSE)," ")</f>
        <v>01</v>
      </c>
      <c r="G57" s="189" t="s">
        <v>564</v>
      </c>
      <c r="H57" s="192" t="str">
        <f t="shared" si="9"/>
        <v xml:space="preserve">19880401  201307 06 01 34</v>
      </c>
      <c r="I57" s="189" t="s">
        <v>347</v>
      </c>
      <c r="J57" s="193" t="s">
        <v>325</v>
      </c>
      <c r="K57" s="193" t="s">
        <v>348</v>
      </c>
      <c r="L57" s="193">
        <v>1988</v>
      </c>
      <c r="M57" s="194" t="str">
        <f t="shared" si="10"/>
        <v>19880401</v>
      </c>
      <c r="N57" s="193">
        <v>14</v>
      </c>
      <c r="O57" s="193" t="s">
        <v>349</v>
      </c>
      <c r="P57" s="195">
        <v>2013</v>
      </c>
      <c r="Q57" s="193">
        <v>14</v>
      </c>
      <c r="R57" s="193" t="s">
        <v>349</v>
      </c>
      <c r="S57" s="195">
        <v>2013</v>
      </c>
      <c r="T57" s="188">
        <f t="shared" si="8"/>
        <v>12</v>
      </c>
      <c r="U57" s="188">
        <f t="shared" si="11"/>
        <v>12</v>
      </c>
      <c r="V57" s="188">
        <f t="shared" si="12"/>
        <v>12</v>
      </c>
      <c r="W57" s="188">
        <f t="shared" si="13"/>
        <v>12</v>
      </c>
      <c r="X57" s="195" t="s">
        <v>357</v>
      </c>
      <c r="Y57" s="196" t="s">
        <v>562</v>
      </c>
      <c r="Z57" s="197">
        <v>2010</v>
      </c>
      <c r="AA57" s="195"/>
      <c r="AB57" s="195" t="s">
        <v>557</v>
      </c>
      <c r="AC57" s="188" t="str">
        <f>IFERROR(VLOOKUP(AD57,'[1]REFERENSI'!$H$5:$I$13,2,FALSE)," ")</f>
        <v xml:space="preserve"> </v>
      </c>
      <c r="AD57" s="195" t="s">
        <v>565</v>
      </c>
      <c r="AE57" s="189" t="s">
        <v>566</v>
      </c>
      <c r="AF57" s="195">
        <v>28</v>
      </c>
      <c r="AG57" s="195" t="s">
        <v>326</v>
      </c>
      <c r="AH57" s="208" t="str">
        <f t="shared" si="14"/>
        <v>-</v>
      </c>
      <c r="AI57" s="198" t="str">
        <f t="shared" si="15"/>
        <v xml:space="preserve"> </v>
      </c>
      <c r="AJ57" s="195"/>
      <c r="AK57" s="195"/>
      <c r="AL57" s="199"/>
      <c r="AM57" s="199"/>
      <c r="AN57" s="201"/>
      <c r="AO57" s="142"/>
      <c r="BF57" s="204"/>
      <c r="BG57" s="204">
        <v>2001</v>
      </c>
    </row>
    <row r="58" s="207" customFormat="1" ht="25" customHeight="1">
      <c r="A58" s="188">
        <v>61</v>
      </c>
      <c r="B58" s="189" t="s">
        <v>550</v>
      </c>
      <c r="C58" s="190" t="str">
        <f>IFERROR(VLOOKUP(B58,REFERENSI!$C$6:$D$15,2,FALSE)," ")</f>
        <v>06</v>
      </c>
      <c r="D58" s="191">
        <v>68</v>
      </c>
      <c r="E58" s="189" t="s">
        <v>76</v>
      </c>
      <c r="F58" s="190" t="str">
        <f>IFERROR(VLOOKUP(E58,REFERENSI!$F$5:$G$6,2,FALSE)," ")</f>
        <v>01</v>
      </c>
      <c r="G58" s="189" t="s">
        <v>567</v>
      </c>
      <c r="H58" s="192" t="str">
        <f t="shared" si="9"/>
        <v xml:space="preserve">19740626  200107 06 01 68</v>
      </c>
      <c r="I58" s="189" t="s">
        <v>568</v>
      </c>
      <c r="J58" s="193">
        <v>26</v>
      </c>
      <c r="K58" s="193" t="s">
        <v>373</v>
      </c>
      <c r="L58" s="193">
        <v>1974</v>
      </c>
      <c r="M58" s="194" t="str">
        <f t="shared" si="10"/>
        <v>19740626</v>
      </c>
      <c r="N58" s="193">
        <v>18</v>
      </c>
      <c r="O58" s="193" t="s">
        <v>349</v>
      </c>
      <c r="P58" s="195">
        <v>2001</v>
      </c>
      <c r="Q58" s="193">
        <v>18</v>
      </c>
      <c r="R58" s="193" t="s">
        <v>349</v>
      </c>
      <c r="S58" s="195">
        <v>2001</v>
      </c>
      <c r="T58" s="188">
        <f t="shared" si="8"/>
        <v>24</v>
      </c>
      <c r="U58" s="188">
        <f t="shared" si="11"/>
        <v>24</v>
      </c>
      <c r="V58" s="188">
        <f t="shared" si="12"/>
        <v>24</v>
      </c>
      <c r="W58" s="188">
        <f t="shared" si="13"/>
        <v>24</v>
      </c>
      <c r="X58" s="195" t="s">
        <v>357</v>
      </c>
      <c r="Y58" s="196" t="s">
        <v>569</v>
      </c>
      <c r="Z58" s="197">
        <v>2000</v>
      </c>
      <c r="AA58" s="195" t="s">
        <v>358</v>
      </c>
      <c r="AB58" s="195" t="s">
        <v>364</v>
      </c>
      <c r="AC58" s="188" t="str">
        <f>IFERROR(VLOOKUP(AD58,'[1]REFERENSI'!$H$5:$I$13,2,FALSE)," ")</f>
        <v xml:space="preserve"> </v>
      </c>
      <c r="AD58" s="195"/>
      <c r="AE58" s="189" t="s">
        <v>570</v>
      </c>
      <c r="AF58" s="195"/>
      <c r="AG58" s="195" t="s">
        <v>326</v>
      </c>
      <c r="AH58" s="208" t="str">
        <f t="shared" si="14"/>
        <v>-</v>
      </c>
      <c r="AI58" s="198" t="str">
        <f t="shared" si="15"/>
        <v xml:space="preserve"> </v>
      </c>
      <c r="AJ58" s="195"/>
      <c r="AK58" s="195"/>
      <c r="AL58" s="199"/>
      <c r="AM58" s="199"/>
      <c r="AN58" s="201"/>
      <c r="AO58" s="142"/>
      <c r="BF58" s="204"/>
      <c r="BG58" s="204">
        <v>2002</v>
      </c>
    </row>
    <row r="59" s="207" customFormat="1" ht="25" customHeight="1">
      <c r="A59" s="188">
        <v>62</v>
      </c>
      <c r="B59" s="189" t="s">
        <v>550</v>
      </c>
      <c r="C59" s="190" t="str">
        <f>IFERROR(VLOOKUP(B59,REFERENSI!$C$6:$D$15,2,FALSE)," ")</f>
        <v>06</v>
      </c>
      <c r="D59" s="191">
        <v>34</v>
      </c>
      <c r="E59" s="189" t="s">
        <v>387</v>
      </c>
      <c r="F59" s="190" t="str">
        <f>IFERROR(VLOOKUP(E59,REFERENSI!$F$5:$G$6,2,FALSE)," ")</f>
        <v>02</v>
      </c>
      <c r="G59" s="189" t="s">
        <v>571</v>
      </c>
      <c r="H59" s="192" t="str">
        <f t="shared" si="9"/>
        <v xml:space="preserve">19940926  201307 06 02 34</v>
      </c>
      <c r="I59" s="189" t="s">
        <v>347</v>
      </c>
      <c r="J59" s="193">
        <v>26</v>
      </c>
      <c r="K59" s="193" t="s">
        <v>393</v>
      </c>
      <c r="L59" s="193">
        <v>1994</v>
      </c>
      <c r="M59" s="194" t="str">
        <f t="shared" si="10"/>
        <v>19940926</v>
      </c>
      <c r="N59" s="193">
        <v>14</v>
      </c>
      <c r="O59" s="193" t="s">
        <v>349</v>
      </c>
      <c r="P59" s="195">
        <v>2013</v>
      </c>
      <c r="Q59" s="193">
        <v>14</v>
      </c>
      <c r="R59" s="193" t="s">
        <v>349</v>
      </c>
      <c r="S59" s="195">
        <v>2013</v>
      </c>
      <c r="T59" s="188">
        <f t="shared" si="8"/>
        <v>12</v>
      </c>
      <c r="U59" s="188">
        <f t="shared" si="11"/>
        <v>12</v>
      </c>
      <c r="V59" s="188">
        <f t="shared" si="12"/>
        <v>12</v>
      </c>
      <c r="W59" s="188">
        <f t="shared" si="13"/>
        <v>12</v>
      </c>
      <c r="X59" s="195" t="s">
        <v>357</v>
      </c>
      <c r="Y59" s="196" t="s">
        <v>562</v>
      </c>
      <c r="Z59" s="197">
        <v>2013</v>
      </c>
      <c r="AA59" s="195"/>
      <c r="AB59" s="195"/>
      <c r="AC59" s="188" t="str">
        <f>IFERROR(VLOOKUP(AD59,'[1]REFERENSI'!$H$5:$I$13,2,FALSE)," ")</f>
        <v xml:space="preserve"> </v>
      </c>
      <c r="AD59" s="195"/>
      <c r="AE59" s="189" t="s">
        <v>572</v>
      </c>
      <c r="AF59" s="195">
        <v>12</v>
      </c>
      <c r="AG59" s="195" t="s">
        <v>326</v>
      </c>
      <c r="AH59" s="208" t="str">
        <f t="shared" si="14"/>
        <v>-</v>
      </c>
      <c r="AI59" s="198" t="str">
        <f t="shared" si="15"/>
        <v xml:space="preserve"> </v>
      </c>
      <c r="AJ59" s="195"/>
      <c r="AK59" s="195"/>
      <c r="AL59" s="199"/>
      <c r="AM59" s="199"/>
      <c r="AN59" s="201"/>
      <c r="AO59" s="142"/>
      <c r="BF59" s="204"/>
      <c r="BG59" s="204">
        <v>2003</v>
      </c>
    </row>
    <row r="60" s="207" customFormat="1" ht="25" customHeight="1">
      <c r="A60" s="188">
        <v>63</v>
      </c>
      <c r="B60" s="189" t="s">
        <v>550</v>
      </c>
      <c r="C60" s="190" t="str">
        <f>IFERROR(VLOOKUP(B60,REFERENSI!$C$6:$D$15,2,FALSE)," ")</f>
        <v>06</v>
      </c>
      <c r="D60" s="191"/>
      <c r="E60" s="189" t="s">
        <v>76</v>
      </c>
      <c r="F60" s="190" t="str">
        <f>IFERROR(VLOOKUP(E60,REFERENSI!$F$5:$G$6,2,FALSE)," ")</f>
        <v>01</v>
      </c>
      <c r="G60" s="189" t="s">
        <v>573</v>
      </c>
      <c r="H60" s="192" t="str">
        <f t="shared" si="9"/>
        <v xml:space="preserve">19860805  200607 06 01 </v>
      </c>
      <c r="I60" s="189" t="s">
        <v>347</v>
      </c>
      <c r="J60" s="193" t="s">
        <v>368</v>
      </c>
      <c r="K60" s="193" t="s">
        <v>385</v>
      </c>
      <c r="L60" s="193">
        <v>1986</v>
      </c>
      <c r="M60" s="194" t="str">
        <f t="shared" si="10"/>
        <v>19860805</v>
      </c>
      <c r="N60" s="193">
        <v>17</v>
      </c>
      <c r="O60" s="193" t="s">
        <v>349</v>
      </c>
      <c r="P60" s="195">
        <v>2006</v>
      </c>
      <c r="Q60" s="193">
        <v>17</v>
      </c>
      <c r="R60" s="193" t="s">
        <v>349</v>
      </c>
      <c r="S60" s="195">
        <v>2006</v>
      </c>
      <c r="T60" s="188">
        <f t="shared" si="8"/>
        <v>19</v>
      </c>
      <c r="U60" s="188">
        <f t="shared" si="11"/>
        <v>19</v>
      </c>
      <c r="V60" s="188">
        <f t="shared" si="12"/>
        <v>19</v>
      </c>
      <c r="W60" s="188">
        <f t="shared" si="13"/>
        <v>19</v>
      </c>
      <c r="X60" s="195" t="s">
        <v>357</v>
      </c>
      <c r="Y60" s="196" t="s">
        <v>351</v>
      </c>
      <c r="Z60" s="197">
        <v>2009</v>
      </c>
      <c r="AA60" s="195"/>
      <c r="AB60" s="195"/>
      <c r="AC60" s="188" t="str">
        <f>IFERROR(VLOOKUP(AD60,'[1]REFERENSI'!$H$5:$I$13,2,FALSE)," ")</f>
        <v xml:space="preserve"> </v>
      </c>
      <c r="AD60" s="195"/>
      <c r="AE60" s="189" t="s">
        <v>574</v>
      </c>
      <c r="AF60" s="195">
        <v>24</v>
      </c>
      <c r="AG60" s="195" t="s">
        <v>394</v>
      </c>
      <c r="AH60" s="208">
        <f t="shared" si="14"/>
        <v>12</v>
      </c>
      <c r="AI60" s="198">
        <f t="shared" si="15"/>
        <v>36</v>
      </c>
      <c r="AJ60" s="195"/>
      <c r="AK60" s="195"/>
      <c r="AL60" s="199"/>
      <c r="AM60" s="199"/>
      <c r="AN60" s="201"/>
      <c r="AO60" s="142"/>
      <c r="BF60" s="204"/>
      <c r="BG60" s="204">
        <v>2004</v>
      </c>
    </row>
    <row r="61" s="207" customFormat="1" ht="25" customHeight="1">
      <c r="A61" s="188">
        <v>64</v>
      </c>
      <c r="B61" s="189" t="s">
        <v>550</v>
      </c>
      <c r="C61" s="190" t="str">
        <f>IFERROR(VLOOKUP(B61,REFERENSI!$C$6:$D$15,2,FALSE)," ")</f>
        <v>06</v>
      </c>
      <c r="D61" s="191">
        <v>59</v>
      </c>
      <c r="E61" s="189" t="s">
        <v>76</v>
      </c>
      <c r="F61" s="190" t="str">
        <f>IFERROR(VLOOKUP(E61,REFERENSI!$F$5:$G$6,2,FALSE)," ")</f>
        <v>01</v>
      </c>
      <c r="G61" s="189" t="s">
        <v>575</v>
      </c>
      <c r="H61" s="192" t="str">
        <f t="shared" si="9"/>
        <v xml:space="preserve">19690508  199507 06 01 59</v>
      </c>
      <c r="I61" s="189" t="s">
        <v>347</v>
      </c>
      <c r="J61" s="193" t="s">
        <v>385</v>
      </c>
      <c r="K61" s="193" t="s">
        <v>368</v>
      </c>
      <c r="L61" s="193">
        <v>1969</v>
      </c>
      <c r="M61" s="194" t="str">
        <f t="shared" si="10"/>
        <v>19690508</v>
      </c>
      <c r="N61" s="193">
        <v>18</v>
      </c>
      <c r="O61" s="193" t="s">
        <v>349</v>
      </c>
      <c r="P61" s="195">
        <v>1995</v>
      </c>
      <c r="Q61" s="193">
        <v>18</v>
      </c>
      <c r="R61" s="193" t="s">
        <v>349</v>
      </c>
      <c r="S61" s="195">
        <v>1995</v>
      </c>
      <c r="T61" s="188">
        <f t="shared" si="8"/>
        <v>30</v>
      </c>
      <c r="U61" s="188">
        <f t="shared" si="11"/>
        <v>30</v>
      </c>
      <c r="V61" s="188">
        <f t="shared" si="12"/>
        <v>30</v>
      </c>
      <c r="W61" s="188">
        <f t="shared" si="13"/>
        <v>30</v>
      </c>
      <c r="X61" s="195" t="s">
        <v>357</v>
      </c>
      <c r="Y61" s="196" t="s">
        <v>576</v>
      </c>
      <c r="Z61" s="197">
        <v>1994</v>
      </c>
      <c r="AA61" s="195" t="s">
        <v>358</v>
      </c>
      <c r="AB61" s="195" t="s">
        <v>397</v>
      </c>
      <c r="AC61" s="188" t="str">
        <f>IFERROR(VLOOKUP(AD61,'[1]REFERENSI'!$H$5:$I$13,2,FALSE)," ")</f>
        <v xml:space="preserve"> </v>
      </c>
      <c r="AD61" s="195" t="s">
        <v>577</v>
      </c>
      <c r="AE61" s="189"/>
      <c r="AF61" s="195"/>
      <c r="AG61" s="195" t="s">
        <v>362</v>
      </c>
      <c r="AH61" s="208">
        <f t="shared" si="14"/>
        <v>12</v>
      </c>
      <c r="AI61" s="198">
        <f t="shared" si="15"/>
        <v>12</v>
      </c>
      <c r="AJ61" s="195" t="s">
        <v>358</v>
      </c>
      <c r="AK61" s="195">
        <v>2010</v>
      </c>
      <c r="AL61" s="199">
        <v>101488912013</v>
      </c>
      <c r="AM61" s="199"/>
      <c r="AN61" s="201"/>
      <c r="AO61" s="142"/>
      <c r="BF61" s="204"/>
      <c r="BG61" s="204">
        <v>2005</v>
      </c>
    </row>
    <row r="62" s="207" customFormat="1" ht="25" customHeight="1">
      <c r="A62" s="188">
        <v>65</v>
      </c>
      <c r="B62" s="189" t="s">
        <v>550</v>
      </c>
      <c r="C62" s="190" t="str">
        <f>IFERROR(VLOOKUP(B62,REFERENSI!$C$6:$D$15,2,FALSE)," ")</f>
        <v>06</v>
      </c>
      <c r="D62" s="191"/>
      <c r="E62" s="189" t="s">
        <v>76</v>
      </c>
      <c r="F62" s="190" t="str">
        <f>IFERROR(VLOOKUP(E62,REFERENSI!$F$5:$G$6,2,FALSE)," ")</f>
        <v>01</v>
      </c>
      <c r="G62" s="189" t="s">
        <v>578</v>
      </c>
      <c r="H62" s="192" t="str">
        <f t="shared" si="9"/>
        <v xml:space="preserve">19940426  201307 06 01 </v>
      </c>
      <c r="I62" s="189" t="s">
        <v>347</v>
      </c>
      <c r="J62" s="193">
        <v>26</v>
      </c>
      <c r="K62" s="193" t="s">
        <v>348</v>
      </c>
      <c r="L62" s="193">
        <v>1994</v>
      </c>
      <c r="M62" s="194" t="str">
        <f t="shared" si="10"/>
        <v>19940426</v>
      </c>
      <c r="N62" s="193">
        <v>14</v>
      </c>
      <c r="O62" s="193" t="s">
        <v>349</v>
      </c>
      <c r="P62" s="195">
        <v>2013</v>
      </c>
      <c r="Q62" s="193">
        <v>14</v>
      </c>
      <c r="R62" s="193" t="s">
        <v>349</v>
      </c>
      <c r="S62" s="195">
        <v>2013</v>
      </c>
      <c r="T62" s="188">
        <f t="shared" si="8"/>
        <v>12</v>
      </c>
      <c r="U62" s="188">
        <f t="shared" si="11"/>
        <v>12</v>
      </c>
      <c r="V62" s="188">
        <f t="shared" si="12"/>
        <v>12</v>
      </c>
      <c r="W62" s="188">
        <f t="shared" si="13"/>
        <v>12</v>
      </c>
      <c r="X62" s="195" t="s">
        <v>357</v>
      </c>
      <c r="Y62" s="196" t="s">
        <v>562</v>
      </c>
      <c r="Z62" s="197">
        <v>2009</v>
      </c>
      <c r="AA62" s="195"/>
      <c r="AB62" s="195"/>
      <c r="AC62" s="188" t="str">
        <f>IFERROR(VLOOKUP(AD62,'[1]REFERENSI'!$H$5:$I$13,2,FALSE)," ")</f>
        <v xml:space="preserve"> </v>
      </c>
      <c r="AD62" s="195"/>
      <c r="AE62" s="189" t="s">
        <v>579</v>
      </c>
      <c r="AF62" s="195"/>
      <c r="AG62" s="195" t="s">
        <v>326</v>
      </c>
      <c r="AH62" s="208" t="str">
        <f t="shared" si="14"/>
        <v>-</v>
      </c>
      <c r="AI62" s="198" t="str">
        <f t="shared" si="15"/>
        <v xml:space="preserve"> </v>
      </c>
      <c r="AJ62" s="195"/>
      <c r="AK62" s="195"/>
      <c r="AL62" s="199"/>
      <c r="AM62" s="199"/>
      <c r="AN62" s="201"/>
      <c r="AO62" s="142"/>
      <c r="BF62" s="204"/>
      <c r="BG62" s="204">
        <v>2006</v>
      </c>
    </row>
    <row r="63" s="207" customFormat="1" ht="25" customHeight="1">
      <c r="A63" s="188">
        <v>66</v>
      </c>
      <c r="B63" s="189" t="s">
        <v>550</v>
      </c>
      <c r="C63" s="190" t="str">
        <f>IFERROR(VLOOKUP(B63,REFERENSI!$C$6:$D$15,2,FALSE)," ")</f>
        <v>06</v>
      </c>
      <c r="D63" s="191" t="s">
        <v>349</v>
      </c>
      <c r="E63" s="189" t="s">
        <v>76</v>
      </c>
      <c r="F63" s="190" t="str">
        <f>IFERROR(VLOOKUP(E63,REFERENSI!$F$5:$G$6,2,FALSE)," ")</f>
        <v>01</v>
      </c>
      <c r="G63" s="189" t="s">
        <v>580</v>
      </c>
      <c r="H63" s="192" t="str">
        <f t="shared" si="9"/>
        <v xml:space="preserve">19791222  200807 06 01 07</v>
      </c>
      <c r="I63" s="189" t="s">
        <v>347</v>
      </c>
      <c r="J63" s="193">
        <v>22</v>
      </c>
      <c r="K63" s="193">
        <v>12</v>
      </c>
      <c r="L63" s="193">
        <v>1979</v>
      </c>
      <c r="M63" s="194" t="str">
        <f t="shared" si="10"/>
        <v>19791222</v>
      </c>
      <c r="N63" s="193" t="s">
        <v>427</v>
      </c>
      <c r="O63" s="193" t="s">
        <v>349</v>
      </c>
      <c r="P63" s="195">
        <v>2008</v>
      </c>
      <c r="Q63" s="193" t="s">
        <v>427</v>
      </c>
      <c r="R63" s="193" t="s">
        <v>349</v>
      </c>
      <c r="S63" s="195">
        <v>2008</v>
      </c>
      <c r="T63" s="188">
        <f t="shared" si="8"/>
        <v>17</v>
      </c>
      <c r="U63" s="188">
        <f t="shared" si="11"/>
        <v>17</v>
      </c>
      <c r="V63" s="188">
        <f t="shared" si="12"/>
        <v>17</v>
      </c>
      <c r="W63" s="188">
        <f t="shared" si="13"/>
        <v>17</v>
      </c>
      <c r="X63" s="195" t="s">
        <v>357</v>
      </c>
      <c r="Y63" s="196" t="s">
        <v>581</v>
      </c>
      <c r="Z63" s="197">
        <v>2003</v>
      </c>
      <c r="AA63" s="195"/>
      <c r="AB63" s="195"/>
      <c r="AC63" s="188" t="str">
        <f>IFERROR(VLOOKUP(AD63,'[1]REFERENSI'!$H$5:$I$13,2,FALSE)," ")</f>
        <v xml:space="preserve"> </v>
      </c>
      <c r="AD63" s="195"/>
      <c r="AE63" s="189"/>
      <c r="AF63" s="195"/>
      <c r="AG63" s="195" t="s">
        <v>326</v>
      </c>
      <c r="AH63" s="208" t="str">
        <f t="shared" si="14"/>
        <v>-</v>
      </c>
      <c r="AI63" s="198" t="str">
        <f t="shared" si="15"/>
        <v xml:space="preserve"> </v>
      </c>
      <c r="AJ63" s="195"/>
      <c r="AK63" s="195"/>
      <c r="AL63" s="199"/>
      <c r="AM63" s="199"/>
      <c r="AN63" s="201"/>
      <c r="AO63" s="142"/>
      <c r="BF63" s="204"/>
      <c r="BG63" s="204">
        <v>2007</v>
      </c>
    </row>
    <row r="64" s="207" customFormat="1" ht="25" customHeight="1">
      <c r="A64" s="188">
        <v>67</v>
      </c>
      <c r="B64" s="189" t="s">
        <v>550</v>
      </c>
      <c r="C64" s="190" t="str">
        <f>IFERROR(VLOOKUP(B64,REFERENSI!$C$6:$D$15,2,FALSE)," ")</f>
        <v>06</v>
      </c>
      <c r="D64" s="191">
        <v>34</v>
      </c>
      <c r="E64" s="189" t="s">
        <v>76</v>
      </c>
      <c r="F64" s="190" t="str">
        <f>IFERROR(VLOOKUP(E64,REFERENSI!$F$5:$G$6,2,FALSE)," ")</f>
        <v>01</v>
      </c>
      <c r="G64" s="189" t="s">
        <v>582</v>
      </c>
      <c r="H64" s="192" t="str">
        <f t="shared" si="9"/>
        <v xml:space="preserve">19941206  201307 06 01 34</v>
      </c>
      <c r="I64" s="189" t="s">
        <v>347</v>
      </c>
      <c r="J64" s="193" t="s">
        <v>373</v>
      </c>
      <c r="K64" s="193">
        <v>12</v>
      </c>
      <c r="L64" s="193">
        <v>1994</v>
      </c>
      <c r="M64" s="194" t="str">
        <f t="shared" si="10"/>
        <v>19941206</v>
      </c>
      <c r="N64" s="193">
        <v>14</v>
      </c>
      <c r="O64" s="193" t="s">
        <v>349</v>
      </c>
      <c r="P64" s="195">
        <v>2013</v>
      </c>
      <c r="Q64" s="193">
        <v>14</v>
      </c>
      <c r="R64" s="193" t="s">
        <v>349</v>
      </c>
      <c r="S64" s="195">
        <v>2013</v>
      </c>
      <c r="T64" s="188">
        <f t="shared" si="8"/>
        <v>12</v>
      </c>
      <c r="U64" s="188">
        <f t="shared" si="11"/>
        <v>12</v>
      </c>
      <c r="V64" s="188">
        <f t="shared" si="12"/>
        <v>12</v>
      </c>
      <c r="W64" s="188">
        <f t="shared" si="13"/>
        <v>12</v>
      </c>
      <c r="X64" s="195" t="s">
        <v>357</v>
      </c>
      <c r="Y64" s="196" t="s">
        <v>351</v>
      </c>
      <c r="Z64" s="197">
        <v>2013</v>
      </c>
      <c r="AA64" s="195"/>
      <c r="AB64" s="195"/>
      <c r="AC64" s="188" t="str">
        <f>IFERROR(VLOOKUP(AD64,'[1]REFERENSI'!$H$5:$I$13,2,FALSE)," ")</f>
        <v xml:space="preserve"> </v>
      </c>
      <c r="AD64" s="195"/>
      <c r="AE64" s="189"/>
      <c r="AF64" s="195"/>
      <c r="AG64" s="195" t="s">
        <v>326</v>
      </c>
      <c r="AH64" s="208" t="str">
        <f t="shared" si="14"/>
        <v>-</v>
      </c>
      <c r="AI64" s="198" t="str">
        <f t="shared" si="15"/>
        <v xml:space="preserve"> </v>
      </c>
      <c r="AJ64" s="195"/>
      <c r="AK64" s="195"/>
      <c r="AL64" s="199"/>
      <c r="AM64" s="199"/>
      <c r="AN64" s="201"/>
      <c r="AO64" s="142"/>
      <c r="BF64" s="204"/>
      <c r="BG64" s="204">
        <v>2008</v>
      </c>
    </row>
    <row r="65" s="207" customFormat="1" ht="25" customHeight="1">
      <c r="A65" s="188">
        <v>68</v>
      </c>
      <c r="B65" s="189" t="s">
        <v>550</v>
      </c>
      <c r="C65" s="190" t="str">
        <f>IFERROR(VLOOKUP(B65,REFERENSI!$C$6:$D$15,2,FALSE)," ")</f>
        <v>06</v>
      </c>
      <c r="D65" s="191">
        <v>54</v>
      </c>
      <c r="E65" s="189" t="s">
        <v>76</v>
      </c>
      <c r="F65" s="190" t="str">
        <f>IFERROR(VLOOKUP(E65,REFERENSI!$F$5:$G$6,2,FALSE)," ")</f>
        <v>01</v>
      </c>
      <c r="G65" s="189" t="s">
        <v>583</v>
      </c>
      <c r="H65" s="192" t="str">
        <f t="shared" si="9"/>
        <v xml:space="preserve">19660121  198707 06 01 54</v>
      </c>
      <c r="I65" s="189" t="s">
        <v>347</v>
      </c>
      <c r="J65" s="193" t="s">
        <v>446</v>
      </c>
      <c r="K65" s="193" t="s">
        <v>325</v>
      </c>
      <c r="L65" s="193">
        <v>1966</v>
      </c>
      <c r="M65" s="194" t="str">
        <f t="shared" si="10"/>
        <v>19660121</v>
      </c>
      <c r="N65" s="193" t="s">
        <v>434</v>
      </c>
      <c r="O65" s="193" t="s">
        <v>349</v>
      </c>
      <c r="P65" s="195">
        <v>1987</v>
      </c>
      <c r="Q65" s="193" t="s">
        <v>434</v>
      </c>
      <c r="R65" s="193" t="s">
        <v>349</v>
      </c>
      <c r="S65" s="195">
        <v>1987</v>
      </c>
      <c r="T65" s="188">
        <v>27</v>
      </c>
      <c r="U65" s="188">
        <v>27</v>
      </c>
      <c r="V65" s="188">
        <v>27</v>
      </c>
      <c r="W65" s="188">
        <v>27</v>
      </c>
      <c r="X65" s="195" t="s">
        <v>357</v>
      </c>
      <c r="Y65" s="196" t="s">
        <v>491</v>
      </c>
      <c r="Z65" s="197">
        <v>1992</v>
      </c>
      <c r="AA65" s="195" t="s">
        <v>358</v>
      </c>
      <c r="AB65" s="195"/>
      <c r="AC65" s="188" t="s">
        <v>584</v>
      </c>
      <c r="AD65" s="195"/>
      <c r="AE65" s="189" t="s">
        <v>491</v>
      </c>
      <c r="AF65" s="195"/>
      <c r="AG65" s="195"/>
      <c r="AH65" s="208"/>
      <c r="AI65" s="198"/>
      <c r="AJ65" s="195"/>
      <c r="AK65" s="195"/>
      <c r="AL65" s="199" t="s">
        <v>585</v>
      </c>
      <c r="AM65" s="199" t="s">
        <v>586</v>
      </c>
      <c r="AN65" s="201"/>
      <c r="AO65" s="142"/>
      <c r="BF65" s="204"/>
      <c r="BG65" s="204">
        <v>2009</v>
      </c>
    </row>
    <row r="66" s="207" customFormat="1" ht="25" customHeight="1">
      <c r="A66" s="188">
        <v>70</v>
      </c>
      <c r="B66" s="189" t="s">
        <v>550</v>
      </c>
      <c r="C66" s="190" t="str">
        <f>IFERROR(VLOOKUP(B66,REFERENSI!$C$6:$D$15,2,FALSE)," ")</f>
        <v>06</v>
      </c>
      <c r="D66" s="191" t="s">
        <v>349</v>
      </c>
      <c r="E66" s="189" t="s">
        <v>76</v>
      </c>
      <c r="F66" s="190" t="str">
        <f>IFERROR(VLOOKUP(E66,REFERENSI!$F$5:$G$6,2,FALSE)," ")</f>
        <v>01</v>
      </c>
      <c r="G66" s="189" t="s">
        <v>587</v>
      </c>
      <c r="H66" s="192" t="str">
        <f>IFERROR((M66&amp;" I4 "&amp;P66&amp;O66&amp;" "&amp;C66&amp;" "&amp;F66&amp;" "&amp;D66)," ")</f>
        <v xml:space="preserve">19860716 I4 201207 06 01 07</v>
      </c>
      <c r="I66" s="189" t="s">
        <v>588</v>
      </c>
      <c r="J66" s="193" t="s">
        <v>427</v>
      </c>
      <c r="K66" s="193" t="s">
        <v>349</v>
      </c>
      <c r="L66" s="193">
        <v>1986</v>
      </c>
      <c r="M66" s="194" t="str">
        <f t="shared" si="10"/>
        <v>19860716</v>
      </c>
      <c r="N66" s="193" t="s">
        <v>325</v>
      </c>
      <c r="O66" s="193" t="s">
        <v>349</v>
      </c>
      <c r="P66" s="195">
        <v>2012</v>
      </c>
      <c r="Q66" s="193" t="s">
        <v>325</v>
      </c>
      <c r="R66" s="193" t="s">
        <v>349</v>
      </c>
      <c r="S66" s="195">
        <v>2012</v>
      </c>
      <c r="T66" s="188">
        <v>2</v>
      </c>
      <c r="U66" s="188">
        <v>2</v>
      </c>
      <c r="V66" s="188">
        <v>2</v>
      </c>
      <c r="W66" s="188">
        <v>2</v>
      </c>
      <c r="X66" s="195" t="s">
        <v>357</v>
      </c>
      <c r="Y66" s="196" t="s">
        <v>491</v>
      </c>
      <c r="Z66" s="197"/>
      <c r="AA66" s="195"/>
      <c r="AB66" s="195"/>
      <c r="AC66" s="188"/>
      <c r="AD66" s="195"/>
      <c r="AE66" s="189"/>
      <c r="AF66" s="195"/>
      <c r="AG66" s="195"/>
      <c r="AH66" s="208"/>
      <c r="AI66" s="198"/>
      <c r="AJ66" s="195"/>
      <c r="AK66" s="195"/>
      <c r="AL66" s="199"/>
      <c r="AM66" s="199"/>
      <c r="AN66" s="201"/>
      <c r="AO66" s="142"/>
      <c r="BF66" s="204"/>
      <c r="BG66" s="204">
        <v>2011</v>
      </c>
    </row>
    <row r="67" s="207" customFormat="1" ht="25" customHeight="1">
      <c r="A67" s="188">
        <v>71</v>
      </c>
      <c r="B67" s="189" t="s">
        <v>550</v>
      </c>
      <c r="C67" s="190" t="str">
        <f>IFERROR(VLOOKUP(B67,REFERENSI!$C$6:$D$15,2,FALSE)," ")</f>
        <v>06</v>
      </c>
      <c r="D67" s="191"/>
      <c r="E67" s="189" t="s">
        <v>76</v>
      </c>
      <c r="F67" s="190" t="str">
        <f>IFERROR(VLOOKUP(E67,REFERENSI!$F$5:$G$6,2,FALSE)," ")</f>
        <v>01</v>
      </c>
      <c r="G67" s="189" t="s">
        <v>589</v>
      </c>
      <c r="H67" s="192" t="str">
        <f t="shared" si="9"/>
        <v xml:space="preserve">19881118  201307 06 01 </v>
      </c>
      <c r="I67" s="189" t="s">
        <v>347</v>
      </c>
      <c r="J67" s="193" t="s">
        <v>434</v>
      </c>
      <c r="K67" s="193" t="s">
        <v>404</v>
      </c>
      <c r="L67" s="193">
        <v>1988</v>
      </c>
      <c r="M67" s="194" t="str">
        <f t="shared" si="10"/>
        <v>19881118</v>
      </c>
      <c r="N67" s="193" t="s">
        <v>423</v>
      </c>
      <c r="O67" s="193" t="s">
        <v>349</v>
      </c>
      <c r="P67" s="193">
        <v>2013</v>
      </c>
      <c r="Q67" s="193" t="s">
        <v>423</v>
      </c>
      <c r="R67" s="193" t="s">
        <v>349</v>
      </c>
      <c r="S67" s="193">
        <v>2013</v>
      </c>
      <c r="T67" s="188">
        <v>1</v>
      </c>
      <c r="U67" s="188">
        <v>1</v>
      </c>
      <c r="V67" s="188">
        <v>1</v>
      </c>
      <c r="W67" s="188">
        <v>1</v>
      </c>
      <c r="X67" s="195" t="s">
        <v>357</v>
      </c>
      <c r="Y67" s="196" t="s">
        <v>590</v>
      </c>
      <c r="Z67" s="197"/>
      <c r="AA67" s="195"/>
      <c r="AB67" s="195"/>
      <c r="AC67" s="188"/>
      <c r="AD67" s="195"/>
      <c r="AE67" s="189"/>
      <c r="AF67" s="195"/>
      <c r="AG67" s="195"/>
      <c r="AH67" s="208"/>
      <c r="AI67" s="198"/>
      <c r="AJ67" s="195"/>
      <c r="AK67" s="195"/>
      <c r="AL67" s="199"/>
      <c r="AM67" s="199"/>
      <c r="AN67" s="201"/>
      <c r="AO67" s="142"/>
      <c r="BF67" s="204"/>
      <c r="BG67" s="204">
        <v>2012</v>
      </c>
    </row>
    <row r="68" s="207" customFormat="1" ht="25" customHeight="1">
      <c r="A68" s="188">
        <v>72</v>
      </c>
      <c r="B68" s="189" t="s">
        <v>483</v>
      </c>
      <c r="C68" s="190" t="str">
        <f>IFERROR(VLOOKUP(B68,REFERENSI!$C$6:$D$15,2,FALSE)," ")</f>
        <v>07</v>
      </c>
      <c r="D68" s="191" t="s">
        <v>349</v>
      </c>
      <c r="E68" s="189" t="s">
        <v>327</v>
      </c>
      <c r="F68" s="190" t="str">
        <f>IFERROR(VLOOKUP(E68,REFERENSI!$F$5:$G$6,2,FALSE)," ")</f>
        <v xml:space="preserve"> </v>
      </c>
      <c r="G68" s="189" t="s">
        <v>591</v>
      </c>
      <c r="H68" s="192" t="str">
        <f t="shared" si="9"/>
        <v xml:space="preserve">19860214  201211 07   07</v>
      </c>
      <c r="I68" s="189" t="s">
        <v>347</v>
      </c>
      <c r="J68" s="193">
        <v>14</v>
      </c>
      <c r="K68" s="193" t="s">
        <v>343</v>
      </c>
      <c r="L68" s="193">
        <v>1986</v>
      </c>
      <c r="M68" s="194" t="str">
        <f t="shared" si="10"/>
        <v>19860214</v>
      </c>
      <c r="N68" s="193" t="s">
        <v>368</v>
      </c>
      <c r="O68" s="193">
        <v>11</v>
      </c>
      <c r="P68" s="195">
        <v>2012</v>
      </c>
      <c r="Q68" s="193" t="s">
        <v>368</v>
      </c>
      <c r="R68" s="193">
        <v>11</v>
      </c>
      <c r="S68" s="195">
        <v>2012</v>
      </c>
      <c r="T68" s="188">
        <f t="shared" si="8"/>
        <v>13</v>
      </c>
      <c r="U68" s="188">
        <f t="shared" si="11"/>
        <v>13</v>
      </c>
      <c r="V68" s="188">
        <f t="shared" si="12"/>
        <v>13</v>
      </c>
      <c r="W68" s="188">
        <f t="shared" si="13"/>
        <v>13</v>
      </c>
      <c r="X68" s="195" t="s">
        <v>496</v>
      </c>
      <c r="Y68" s="196" t="s">
        <v>592</v>
      </c>
      <c r="Z68" s="195">
        <v>2023</v>
      </c>
      <c r="AA68" s="195" t="s">
        <v>352</v>
      </c>
      <c r="AB68" s="195"/>
      <c r="AC68" s="188" t="str">
        <f>IFERROR(VLOOKUP(AD68,'[1]REFERENSI'!$H$5:$I$13,2,FALSE)," ")</f>
        <v xml:space="preserve"> </v>
      </c>
      <c r="AD68" s="195"/>
      <c r="AE68" s="189" t="s">
        <v>593</v>
      </c>
      <c r="AF68" s="195">
        <v>12</v>
      </c>
      <c r="AG68" s="195" t="s">
        <v>327</v>
      </c>
      <c r="AH68" s="208">
        <f t="shared" si="14"/>
        <v>18</v>
      </c>
      <c r="AI68" s="198">
        <f t="shared" si="15"/>
        <v>30</v>
      </c>
      <c r="AJ68" s="195"/>
      <c r="AK68" s="195"/>
      <c r="AL68" s="199"/>
      <c r="AM68" s="199"/>
      <c r="AN68" s="201"/>
      <c r="AO68" s="142"/>
      <c r="BF68" s="204"/>
      <c r="BG68" s="204">
        <v>2013</v>
      </c>
    </row>
    <row r="69" s="207" customFormat="1" ht="25" customHeight="1">
      <c r="A69" s="188">
        <v>73</v>
      </c>
      <c r="B69" s="189" t="s">
        <v>483</v>
      </c>
      <c r="C69" s="190" t="str">
        <f>IFERROR(VLOOKUP(B69,REFERENSI!$C$6:$D$15,2,FALSE)," ")</f>
        <v>07</v>
      </c>
      <c r="D69" s="191">
        <v>52</v>
      </c>
      <c r="E69" s="189" t="s">
        <v>76</v>
      </c>
      <c r="F69" s="190" t="str">
        <f>IFERROR(VLOOKUP(E69,REFERENSI!$F$5:$G$6,2,FALSE)," ")</f>
        <v>01</v>
      </c>
      <c r="G69" s="189" t="s">
        <v>594</v>
      </c>
      <c r="H69" s="192" t="str">
        <f t="shared" si="9"/>
        <v xml:space="preserve">19650417  199007 07 01 52</v>
      </c>
      <c r="I69" s="189" t="s">
        <v>347</v>
      </c>
      <c r="J69" s="193">
        <v>17</v>
      </c>
      <c r="K69" s="193" t="s">
        <v>348</v>
      </c>
      <c r="L69" s="193">
        <v>1965</v>
      </c>
      <c r="M69" s="194" t="str">
        <f t="shared" si="10"/>
        <v>19650417</v>
      </c>
      <c r="N69" s="193">
        <v>16</v>
      </c>
      <c r="O69" s="193" t="s">
        <v>349</v>
      </c>
      <c r="P69" s="195">
        <v>1990</v>
      </c>
      <c r="Q69" s="193">
        <v>18</v>
      </c>
      <c r="R69" s="193" t="s">
        <v>349</v>
      </c>
      <c r="S69" s="195">
        <v>1995</v>
      </c>
      <c r="T69" s="188">
        <f t="shared" si="8"/>
        <v>30</v>
      </c>
      <c r="U69" s="188">
        <f t="shared" si="11"/>
        <v>35</v>
      </c>
      <c r="V69" s="188">
        <f t="shared" si="12"/>
        <v>35</v>
      </c>
      <c r="W69" s="188">
        <f t="shared" si="13"/>
        <v>30</v>
      </c>
      <c r="X69" s="195" t="s">
        <v>357</v>
      </c>
      <c r="Y69" s="196" t="s">
        <v>595</v>
      </c>
      <c r="Z69" s="197">
        <v>1991</v>
      </c>
      <c r="AA69" s="195" t="s">
        <v>358</v>
      </c>
      <c r="AB69" s="195" t="s">
        <v>397</v>
      </c>
      <c r="AC69" s="188" t="str">
        <f>IFERROR(VLOOKUP(AD69,'[1]REFERENSI'!$H$5:$I$13,2,FALSE)," ")</f>
        <v xml:space="preserve"> </v>
      </c>
      <c r="AD69" s="195" t="s">
        <v>565</v>
      </c>
      <c r="AE69" s="189" t="s">
        <v>596</v>
      </c>
      <c r="AF69" s="195">
        <v>12</v>
      </c>
      <c r="AG69" s="195" t="s">
        <v>374</v>
      </c>
      <c r="AH69" s="208">
        <f t="shared" si="14"/>
        <v>12</v>
      </c>
      <c r="AI69" s="198">
        <f t="shared" si="15"/>
        <v>24</v>
      </c>
      <c r="AJ69" s="195" t="s">
        <v>358</v>
      </c>
      <c r="AK69" s="195">
        <v>2008</v>
      </c>
      <c r="AL69" s="209" t="s">
        <v>597</v>
      </c>
      <c r="AM69" s="209" t="s">
        <v>598</v>
      </c>
      <c r="AN69" s="210"/>
      <c r="AO69" s="142"/>
      <c r="BF69" s="204"/>
      <c r="BG69" s="204">
        <v>2014</v>
      </c>
    </row>
    <row r="70" s="207" customFormat="1" ht="25" customHeight="1">
      <c r="A70" s="188">
        <v>74</v>
      </c>
      <c r="B70" s="189" t="s">
        <v>483</v>
      </c>
      <c r="C70" s="190" t="str">
        <f>IFERROR(VLOOKUP(B70,REFERENSI!$C$6:$D$15,2,FALSE)," ")</f>
        <v>07</v>
      </c>
      <c r="D70" s="191">
        <v>59</v>
      </c>
      <c r="E70" s="189" t="s">
        <v>76</v>
      </c>
      <c r="F70" s="190" t="str">
        <f>IFERROR(VLOOKUP(E70,REFERENSI!$F$5:$G$6,2,FALSE)," ")</f>
        <v>01</v>
      </c>
      <c r="G70" s="189" t="s">
        <v>599</v>
      </c>
      <c r="H70" s="192" t="str">
        <f t="shared" si="9"/>
        <v xml:space="preserve">19651218  199507 07 01 59</v>
      </c>
      <c r="I70" s="189" t="s">
        <v>347</v>
      </c>
      <c r="J70" s="193">
        <v>18</v>
      </c>
      <c r="K70" s="193">
        <v>12</v>
      </c>
      <c r="L70" s="193">
        <v>1965</v>
      </c>
      <c r="M70" s="194" t="str">
        <f t="shared" si="10"/>
        <v>19651218</v>
      </c>
      <c r="N70" s="193" t="s">
        <v>325</v>
      </c>
      <c r="O70" s="193" t="s">
        <v>349</v>
      </c>
      <c r="P70" s="195">
        <v>1995</v>
      </c>
      <c r="Q70" s="193" t="s">
        <v>325</v>
      </c>
      <c r="R70" s="193" t="s">
        <v>349</v>
      </c>
      <c r="S70" s="195">
        <v>1995</v>
      </c>
      <c r="T70" s="188">
        <f t="shared" si="8"/>
        <v>30</v>
      </c>
      <c r="U70" s="188">
        <f t="shared" si="11"/>
        <v>30</v>
      </c>
      <c r="V70" s="188">
        <f t="shared" si="12"/>
        <v>30</v>
      </c>
      <c r="W70" s="188">
        <f t="shared" si="13"/>
        <v>30</v>
      </c>
      <c r="X70" s="195" t="s">
        <v>357</v>
      </c>
      <c r="Y70" s="196" t="s">
        <v>600</v>
      </c>
      <c r="Z70" s="197">
        <v>1993</v>
      </c>
      <c r="AA70" s="195"/>
      <c r="AB70" s="195"/>
      <c r="AC70" s="188" t="str">
        <f>IFERROR(VLOOKUP(AD70,'[1]REFERENSI'!$H$5:$I$13,2,FALSE)," ")</f>
        <v xml:space="preserve"> </v>
      </c>
      <c r="AD70" s="195"/>
      <c r="AE70" s="189" t="s">
        <v>601</v>
      </c>
      <c r="AF70" s="195">
        <v>16</v>
      </c>
      <c r="AG70" s="195" t="s">
        <v>326</v>
      </c>
      <c r="AH70" s="208" t="str">
        <f t="shared" si="14"/>
        <v>-</v>
      </c>
      <c r="AI70" s="198" t="str">
        <f t="shared" si="15"/>
        <v xml:space="preserve"> </v>
      </c>
      <c r="AJ70" s="195" t="s">
        <v>358</v>
      </c>
      <c r="AK70" s="195">
        <v>2011</v>
      </c>
      <c r="AL70" s="199"/>
      <c r="AM70" s="209" t="s">
        <v>602</v>
      </c>
      <c r="AN70" s="210"/>
      <c r="AO70" s="142"/>
      <c r="BF70" s="204"/>
      <c r="BG70" s="204">
        <v>2015</v>
      </c>
    </row>
    <row r="71" s="207" customFormat="1" ht="25" customHeight="1">
      <c r="A71" s="188">
        <v>75</v>
      </c>
      <c r="B71" s="189" t="s">
        <v>483</v>
      </c>
      <c r="C71" s="190" t="str">
        <f>IFERROR(VLOOKUP(B71,REFERENSI!$C$6:$D$15,2,FALSE)," ")</f>
        <v>07</v>
      </c>
      <c r="D71" s="191">
        <v>52</v>
      </c>
      <c r="E71" s="189" t="s">
        <v>76</v>
      </c>
      <c r="F71" s="190" t="str">
        <f>IFERROR(VLOOKUP(E71,REFERENSI!$F$5:$G$6,2,FALSE)," ")</f>
        <v>01</v>
      </c>
      <c r="G71" s="189" t="s">
        <v>603</v>
      </c>
      <c r="H71" s="192" t="str">
        <f t="shared" si="9"/>
        <v xml:space="preserve">19681008  199007 07 01 52</v>
      </c>
      <c r="I71" s="189" t="s">
        <v>347</v>
      </c>
      <c r="J71" s="193" t="s">
        <v>385</v>
      </c>
      <c r="K71" s="193">
        <v>10</v>
      </c>
      <c r="L71" s="193">
        <v>1968</v>
      </c>
      <c r="M71" s="194" t="str">
        <f t="shared" si="10"/>
        <v>19681008</v>
      </c>
      <c r="N71" s="193">
        <v>18</v>
      </c>
      <c r="O71" s="193" t="s">
        <v>349</v>
      </c>
      <c r="P71" s="195">
        <v>1990</v>
      </c>
      <c r="Q71" s="193">
        <v>18</v>
      </c>
      <c r="R71" s="193" t="s">
        <v>349</v>
      </c>
      <c r="S71" s="195">
        <v>1995</v>
      </c>
      <c r="T71" s="188">
        <f t="shared" si="8"/>
        <v>30</v>
      </c>
      <c r="U71" s="188">
        <f t="shared" si="11"/>
        <v>35</v>
      </c>
      <c r="V71" s="188">
        <f t="shared" si="12"/>
        <v>35</v>
      </c>
      <c r="W71" s="188">
        <f t="shared" si="13"/>
        <v>30</v>
      </c>
      <c r="X71" s="195" t="s">
        <v>357</v>
      </c>
      <c r="Y71" s="196" t="s">
        <v>604</v>
      </c>
      <c r="Z71" s="197">
        <v>1992</v>
      </c>
      <c r="AA71" s="195" t="s">
        <v>358</v>
      </c>
      <c r="AB71" s="195" t="s">
        <v>397</v>
      </c>
      <c r="AC71" s="188" t="str">
        <f>IFERROR(VLOOKUP(AD71,'[1]REFERENSI'!$H$5:$I$13,2,FALSE)," ")</f>
        <v xml:space="preserve"> </v>
      </c>
      <c r="AD71" s="195" t="s">
        <v>565</v>
      </c>
      <c r="AE71" s="189" t="s">
        <v>605</v>
      </c>
      <c r="AF71" s="195">
        <v>12</v>
      </c>
      <c r="AG71" s="195" t="s">
        <v>369</v>
      </c>
      <c r="AH71" s="208">
        <f t="shared" si="14"/>
        <v>12</v>
      </c>
      <c r="AI71" s="198">
        <f t="shared" si="15"/>
        <v>24</v>
      </c>
      <c r="AJ71" s="195" t="s">
        <v>358</v>
      </c>
      <c r="AK71" s="195">
        <v>2008</v>
      </c>
      <c r="AL71" s="209" t="s">
        <v>606</v>
      </c>
      <c r="AM71" s="209" t="s">
        <v>607</v>
      </c>
      <c r="AN71" s="210"/>
      <c r="AO71" s="142"/>
      <c r="BF71" s="204"/>
      <c r="BG71" s="204">
        <v>2016</v>
      </c>
    </row>
    <row r="72" s="207" customFormat="1" ht="25" customHeight="1">
      <c r="A72" s="188">
        <v>76</v>
      </c>
      <c r="B72" s="189" t="s">
        <v>483</v>
      </c>
      <c r="C72" s="190" t="str">
        <f>IFERROR(VLOOKUP(B72,REFERENSI!$C$6:$D$15,2,FALSE)," ")</f>
        <v>07</v>
      </c>
      <c r="D72" s="191">
        <v>64</v>
      </c>
      <c r="E72" s="189" t="s">
        <v>76</v>
      </c>
      <c r="F72" s="190" t="str">
        <f>IFERROR(VLOOKUP(E72,REFERENSI!$F$5:$G$6,2,FALSE)," ")</f>
        <v>01</v>
      </c>
      <c r="G72" s="189" t="s">
        <v>608</v>
      </c>
      <c r="H72" s="192" t="str">
        <f t="shared" si="9"/>
        <v xml:space="preserve">19730419  199707 07 01 64</v>
      </c>
      <c r="I72" s="189" t="s">
        <v>347</v>
      </c>
      <c r="J72" s="193">
        <v>19</v>
      </c>
      <c r="K72" s="193" t="s">
        <v>348</v>
      </c>
      <c r="L72" s="193">
        <v>1973</v>
      </c>
      <c r="M72" s="194" t="str">
        <f t="shared" si="10"/>
        <v>19730419</v>
      </c>
      <c r="N72" s="193" t="s">
        <v>325</v>
      </c>
      <c r="O72" s="193" t="s">
        <v>349</v>
      </c>
      <c r="P72" s="195">
        <v>1997</v>
      </c>
      <c r="Q72" s="193" t="s">
        <v>325</v>
      </c>
      <c r="R72" s="193" t="s">
        <v>349</v>
      </c>
      <c r="S72" s="195">
        <v>1997</v>
      </c>
      <c r="T72" s="188">
        <f t="shared" si="8"/>
        <v>28</v>
      </c>
      <c r="U72" s="188">
        <f t="shared" si="11"/>
        <v>28</v>
      </c>
      <c r="V72" s="188">
        <f t="shared" si="12"/>
        <v>28</v>
      </c>
      <c r="W72" s="188">
        <f t="shared" si="13"/>
        <v>28</v>
      </c>
      <c r="X72" s="195" t="s">
        <v>357</v>
      </c>
      <c r="Y72" s="196" t="s">
        <v>609</v>
      </c>
      <c r="Z72" s="197">
        <v>1996</v>
      </c>
      <c r="AA72" s="195" t="s">
        <v>358</v>
      </c>
      <c r="AB72" s="195" t="s">
        <v>397</v>
      </c>
      <c r="AC72" s="188" t="str">
        <f>IFERROR(VLOOKUP(AD72,'[1]REFERENSI'!$H$5:$I$13,2,FALSE)," ")</f>
        <v xml:space="preserve"> </v>
      </c>
      <c r="AD72" s="195" t="s">
        <v>398</v>
      </c>
      <c r="AE72" s="189" t="s">
        <v>610</v>
      </c>
      <c r="AF72" s="195">
        <v>16</v>
      </c>
      <c r="AG72" s="195" t="s">
        <v>326</v>
      </c>
      <c r="AH72" s="208" t="str">
        <f t="shared" si="14"/>
        <v>-</v>
      </c>
      <c r="AI72" s="198" t="str">
        <f t="shared" si="15"/>
        <v xml:space="preserve"> </v>
      </c>
      <c r="AJ72" s="195" t="s">
        <v>358</v>
      </c>
      <c r="AK72" s="195">
        <v>2012</v>
      </c>
      <c r="AL72" s="209" t="s">
        <v>611</v>
      </c>
      <c r="AM72" s="209" t="s">
        <v>612</v>
      </c>
      <c r="AN72" s="210"/>
      <c r="AO72" s="142"/>
      <c r="BF72" s="204"/>
      <c r="BG72" s="204">
        <v>2017</v>
      </c>
    </row>
    <row r="73" s="207" customFormat="1" ht="25" customHeight="1">
      <c r="A73" s="188">
        <v>77</v>
      </c>
      <c r="B73" s="189" t="s">
        <v>483</v>
      </c>
      <c r="C73" s="190" t="str">
        <f>IFERROR(VLOOKUP(B73,REFERENSI!$C$6:$D$15,2,FALSE)," ")</f>
        <v>07</v>
      </c>
      <c r="D73" s="191">
        <v>68</v>
      </c>
      <c r="E73" s="189" t="s">
        <v>76</v>
      </c>
      <c r="F73" s="190" t="str">
        <f>IFERROR(VLOOKUP(E73,REFERENSI!$F$5:$G$6,2,FALSE)," ")</f>
        <v>01</v>
      </c>
      <c r="G73" s="189" t="s">
        <v>613</v>
      </c>
      <c r="H73" s="192" t="str">
        <f t="shared" si="9"/>
        <v xml:space="preserve">19760226  200107 07 01 68</v>
      </c>
      <c r="I73" s="189" t="s">
        <v>347</v>
      </c>
      <c r="J73" s="193">
        <v>26</v>
      </c>
      <c r="K73" s="193" t="s">
        <v>343</v>
      </c>
      <c r="L73" s="193">
        <v>1976</v>
      </c>
      <c r="M73" s="194" t="str">
        <f t="shared" si="10"/>
        <v>19760226</v>
      </c>
      <c r="N73" s="193">
        <v>18</v>
      </c>
      <c r="O73" s="193" t="s">
        <v>349</v>
      </c>
      <c r="P73" s="195">
        <v>2001</v>
      </c>
      <c r="Q73" s="193">
        <v>18</v>
      </c>
      <c r="R73" s="193" t="s">
        <v>349</v>
      </c>
      <c r="S73" s="195">
        <v>2001</v>
      </c>
      <c r="T73" s="188">
        <f t="shared" si="8"/>
        <v>24</v>
      </c>
      <c r="U73" s="188">
        <f t="shared" si="11"/>
        <v>24</v>
      </c>
      <c r="V73" s="188">
        <f t="shared" si="12"/>
        <v>24</v>
      </c>
      <c r="W73" s="188">
        <f t="shared" si="13"/>
        <v>24</v>
      </c>
      <c r="X73" s="195" t="s">
        <v>496</v>
      </c>
      <c r="Y73" s="196" t="s">
        <v>592</v>
      </c>
      <c r="Z73" s="197">
        <v>2020</v>
      </c>
      <c r="AA73" s="195"/>
      <c r="AB73" s="195"/>
      <c r="AC73" s="188" t="str">
        <f>IFERROR(VLOOKUP(AD73,'[1]REFERENSI'!$H$5:$I$13,2,FALSE)," ")</f>
        <v xml:space="preserve"> </v>
      </c>
      <c r="AD73" s="195"/>
      <c r="AE73" s="189" t="s">
        <v>595</v>
      </c>
      <c r="AF73" s="195">
        <v>12</v>
      </c>
      <c r="AG73" s="195" t="s">
        <v>362</v>
      </c>
      <c r="AH73" s="208">
        <f t="shared" si="14"/>
        <v>12</v>
      </c>
      <c r="AI73" s="198">
        <f t="shared" si="15"/>
        <v>24</v>
      </c>
      <c r="AJ73" s="195" t="s">
        <v>358</v>
      </c>
      <c r="AK73" s="195">
        <v>2009</v>
      </c>
      <c r="AL73" s="209" t="s">
        <v>614</v>
      </c>
      <c r="AM73" s="209" t="s">
        <v>615</v>
      </c>
      <c r="AN73" s="210"/>
      <c r="AO73" s="142"/>
      <c r="BF73" s="204"/>
      <c r="BG73" s="204">
        <v>2018</v>
      </c>
    </row>
    <row r="74" s="207" customFormat="1" ht="25" customHeight="1">
      <c r="A74" s="188">
        <v>79</v>
      </c>
      <c r="B74" s="189" t="s">
        <v>483</v>
      </c>
      <c r="C74" s="190" t="str">
        <f>IFERROR(VLOOKUP(B74,REFERENSI!$C$6:$D$15,2,FALSE)," ")</f>
        <v>07</v>
      </c>
      <c r="D74" s="191" t="s">
        <v>325</v>
      </c>
      <c r="E74" s="189" t="s">
        <v>76</v>
      </c>
      <c r="F74" s="190" t="str">
        <f>IFERROR(VLOOKUP(E74,REFERENSI!$F$5:$G$6,2,FALSE)," ")</f>
        <v>01</v>
      </c>
      <c r="G74" s="189" t="s">
        <v>616</v>
      </c>
      <c r="H74" s="192" t="str">
        <f t="shared" si="9"/>
        <v xml:space="preserve">19830501  200707 07 01 01</v>
      </c>
      <c r="I74" s="189" t="s">
        <v>347</v>
      </c>
      <c r="J74" s="193" t="s">
        <v>325</v>
      </c>
      <c r="K74" s="193" t="s">
        <v>368</v>
      </c>
      <c r="L74" s="193">
        <v>1983</v>
      </c>
      <c r="M74" s="194" t="str">
        <f t="shared" si="10"/>
        <v>19830501</v>
      </c>
      <c r="N74" s="193" t="s">
        <v>427</v>
      </c>
      <c r="O74" s="193" t="s">
        <v>349</v>
      </c>
      <c r="P74" s="195">
        <v>2007</v>
      </c>
      <c r="Q74" s="193" t="s">
        <v>427</v>
      </c>
      <c r="R74" s="193" t="s">
        <v>349</v>
      </c>
      <c r="S74" s="195">
        <v>2007</v>
      </c>
      <c r="T74" s="188">
        <f t="shared" ref="T74:T106" si="16">$E$4-S74</f>
        <v>18</v>
      </c>
      <c r="U74" s="188">
        <f t="shared" si="11"/>
        <v>18</v>
      </c>
      <c r="V74" s="188">
        <f t="shared" si="12"/>
        <v>18</v>
      </c>
      <c r="W74" s="188">
        <f t="shared" si="13"/>
        <v>18</v>
      </c>
      <c r="X74" s="195" t="s">
        <v>357</v>
      </c>
      <c r="Y74" s="196" t="s">
        <v>617</v>
      </c>
      <c r="Z74" s="197">
        <v>2005</v>
      </c>
      <c r="AA74" s="195"/>
      <c r="AB74" s="195"/>
      <c r="AC74" s="188" t="str">
        <f>IFERROR(VLOOKUP(AD74,'[1]REFERENSI'!$H$5:$I$13,2,FALSE)," ")</f>
        <v xml:space="preserve"> </v>
      </c>
      <c r="AD74" s="195"/>
      <c r="AE74" s="189" t="s">
        <v>618</v>
      </c>
      <c r="AF74" s="195">
        <v>24</v>
      </c>
      <c r="AG74" s="195" t="s">
        <v>326</v>
      </c>
      <c r="AH74" s="208" t="str">
        <f t="shared" si="14"/>
        <v>-</v>
      </c>
      <c r="AI74" s="198" t="str">
        <f t="shared" si="15"/>
        <v xml:space="preserve"> </v>
      </c>
      <c r="AJ74" s="195"/>
      <c r="AK74" s="195"/>
      <c r="AL74" s="199"/>
      <c r="AM74" s="209" t="s">
        <v>619</v>
      </c>
      <c r="AN74" s="210"/>
      <c r="AO74" s="142"/>
      <c r="BG74" s="204">
        <v>2020</v>
      </c>
    </row>
    <row r="75" s="207" customFormat="1" ht="25" customHeight="1">
      <c r="A75" s="188">
        <v>82</v>
      </c>
      <c r="B75" s="189" t="s">
        <v>483</v>
      </c>
      <c r="C75" s="190" t="str">
        <f>IFERROR(VLOOKUP(B75,REFERENSI!$C$6:$D$15,2,FALSE)," ")</f>
        <v>07</v>
      </c>
      <c r="D75" s="191">
        <v>63</v>
      </c>
      <c r="E75" s="189" t="s">
        <v>76</v>
      </c>
      <c r="F75" s="190" t="str">
        <f>IFERROR(VLOOKUP(E75,REFERENSI!$F$5:$G$6,2,FALSE)," ")</f>
        <v>01</v>
      </c>
      <c r="G75" s="189" t="s">
        <v>620</v>
      </c>
      <c r="H75" s="192" t="str">
        <f t="shared" si="9"/>
        <v xml:space="preserve">19890131  201007 07 01 63</v>
      </c>
      <c r="I75" s="189" t="s">
        <v>347</v>
      </c>
      <c r="J75" s="193">
        <v>31</v>
      </c>
      <c r="K75" s="193" t="s">
        <v>325</v>
      </c>
      <c r="L75" s="193">
        <v>1989</v>
      </c>
      <c r="M75" s="194" t="str">
        <f t="shared" si="10"/>
        <v>19890131</v>
      </c>
      <c r="N75" s="193">
        <v>12</v>
      </c>
      <c r="O75" s="193" t="s">
        <v>349</v>
      </c>
      <c r="P75" s="195">
        <v>2010</v>
      </c>
      <c r="Q75" s="193">
        <v>11</v>
      </c>
      <c r="R75" s="193" t="s">
        <v>349</v>
      </c>
      <c r="S75" s="195">
        <v>2010</v>
      </c>
      <c r="T75" s="188">
        <f t="shared" si="16"/>
        <v>15</v>
      </c>
      <c r="U75" s="188">
        <f t="shared" si="11"/>
        <v>15</v>
      </c>
      <c r="V75" s="188">
        <f t="shared" si="12"/>
        <v>15</v>
      </c>
      <c r="W75" s="188">
        <f t="shared" si="13"/>
        <v>15</v>
      </c>
      <c r="X75" s="195" t="s">
        <v>357</v>
      </c>
      <c r="Y75" s="196" t="s">
        <v>490</v>
      </c>
      <c r="Z75" s="197">
        <v>2011</v>
      </c>
      <c r="AA75" s="195"/>
      <c r="AB75" s="195"/>
      <c r="AC75" s="188" t="str">
        <f>IFERROR(VLOOKUP(AD75,'[1]REFERENSI'!$H$5:$I$13,2,FALSE)," ")</f>
        <v xml:space="preserve"> </v>
      </c>
      <c r="AD75" s="195"/>
      <c r="AE75" s="189" t="s">
        <v>621</v>
      </c>
      <c r="AF75" s="195">
        <v>27</v>
      </c>
      <c r="AG75" s="195" t="s">
        <v>326</v>
      </c>
      <c r="AH75" s="208" t="str">
        <f t="shared" si="14"/>
        <v>-</v>
      </c>
      <c r="AI75" s="198" t="str">
        <f t="shared" si="15"/>
        <v xml:space="preserve"> </v>
      </c>
      <c r="AJ75" s="195"/>
      <c r="AK75" s="195"/>
      <c r="AL75" s="199"/>
      <c r="AM75" s="199"/>
      <c r="AN75" s="201"/>
      <c r="AO75" s="142"/>
    </row>
    <row r="76" s="207" customFormat="1" ht="25" customHeight="1">
      <c r="A76" s="188">
        <v>84</v>
      </c>
      <c r="B76" s="189" t="s">
        <v>483</v>
      </c>
      <c r="C76" s="190" t="str">
        <f>IFERROR(VLOOKUP(B76,REFERENSI!$C$6:$D$15,2,FALSE)," ")</f>
        <v>07</v>
      </c>
      <c r="D76" s="191">
        <v>34</v>
      </c>
      <c r="E76" s="189" t="s">
        <v>76</v>
      </c>
      <c r="F76" s="190" t="str">
        <f>IFERROR(VLOOKUP(E76,REFERENSI!$F$5:$G$6,2,FALSE)," ")</f>
        <v>01</v>
      </c>
      <c r="G76" s="189" t="s">
        <v>622</v>
      </c>
      <c r="H76" s="192" t="str">
        <f t="shared" si="9"/>
        <v xml:space="preserve">19900311  201307 07 01 34</v>
      </c>
      <c r="I76" s="189" t="s">
        <v>347</v>
      </c>
      <c r="J76" s="193">
        <v>11</v>
      </c>
      <c r="K76" s="193" t="s">
        <v>354</v>
      </c>
      <c r="L76" s="193">
        <v>1990</v>
      </c>
      <c r="M76" s="194" t="str">
        <f t="shared" si="10"/>
        <v>19900311</v>
      </c>
      <c r="N76" s="193" t="s">
        <v>427</v>
      </c>
      <c r="O76" s="193" t="s">
        <v>349</v>
      </c>
      <c r="P76" s="195">
        <v>2013</v>
      </c>
      <c r="Q76" s="193" t="s">
        <v>427</v>
      </c>
      <c r="R76" s="193" t="s">
        <v>349</v>
      </c>
      <c r="S76" s="195">
        <v>2013</v>
      </c>
      <c r="T76" s="188">
        <f t="shared" si="16"/>
        <v>12</v>
      </c>
      <c r="U76" s="188">
        <f t="shared" si="11"/>
        <v>12</v>
      </c>
      <c r="V76" s="188">
        <f t="shared" si="12"/>
        <v>12</v>
      </c>
      <c r="W76" s="188">
        <f t="shared" si="13"/>
        <v>12</v>
      </c>
      <c r="X76" s="195" t="s">
        <v>357</v>
      </c>
      <c r="Y76" s="196" t="s">
        <v>623</v>
      </c>
      <c r="Z76" s="197">
        <v>2012</v>
      </c>
      <c r="AA76" s="195"/>
      <c r="AB76" s="195"/>
      <c r="AC76" s="188" t="str">
        <f>IFERROR(VLOOKUP(AD76,'[1]REFERENSI'!$H$5:$I$13,2,FALSE)," ")</f>
        <v xml:space="preserve"> </v>
      </c>
      <c r="AD76" s="195"/>
      <c r="AE76" s="189" t="s">
        <v>624</v>
      </c>
      <c r="AF76" s="195">
        <v>18</v>
      </c>
      <c r="AG76" s="195" t="s">
        <v>326</v>
      </c>
      <c r="AH76" s="208" t="str">
        <f t="shared" si="14"/>
        <v>-</v>
      </c>
      <c r="AI76" s="198" t="str">
        <f t="shared" si="15"/>
        <v xml:space="preserve"> </v>
      </c>
      <c r="AJ76" s="195"/>
      <c r="AK76" s="195"/>
      <c r="AL76" s="199"/>
      <c r="AM76" s="199"/>
      <c r="AN76" s="201"/>
      <c r="AO76" s="142"/>
      <c r="BG76" s="204"/>
    </row>
    <row r="77" s="207" customFormat="1" ht="25" customHeight="1">
      <c r="A77" s="188">
        <v>86</v>
      </c>
      <c r="B77" s="189" t="s">
        <v>483</v>
      </c>
      <c r="C77" s="190" t="str">
        <f>IFERROR(VLOOKUP(B77,REFERENSI!$C$6:$D$15,2,FALSE)," ")</f>
        <v>07</v>
      </c>
      <c r="D77" s="191">
        <v>74</v>
      </c>
      <c r="E77" s="189" t="s">
        <v>76</v>
      </c>
      <c r="F77" s="190" t="str">
        <f>IFERROR(VLOOKUP(E77,REFERENSI!$F$5:$G$6,2,FALSE)," ")</f>
        <v>01</v>
      </c>
      <c r="G77" s="189" t="s">
        <v>625</v>
      </c>
      <c r="H77" s="192" t="str">
        <f t="shared" si="9"/>
        <v xml:space="preserve">19880525  201207 07 01 74</v>
      </c>
      <c r="I77" s="189" t="s">
        <v>626</v>
      </c>
      <c r="J77" s="193">
        <v>25</v>
      </c>
      <c r="K77" s="193" t="s">
        <v>368</v>
      </c>
      <c r="L77" s="193">
        <v>1988</v>
      </c>
      <c r="M77" s="194" t="str">
        <f t="shared" si="10"/>
        <v>19880525</v>
      </c>
      <c r="N77" s="193">
        <v>9</v>
      </c>
      <c r="O77" s="193" t="s">
        <v>349</v>
      </c>
      <c r="P77" s="195">
        <v>2012</v>
      </c>
      <c r="Q77" s="193" t="s">
        <v>393</v>
      </c>
      <c r="R77" s="193" t="s">
        <v>349</v>
      </c>
      <c r="S77" s="195">
        <v>2012</v>
      </c>
      <c r="T77" s="188">
        <f t="shared" si="16"/>
        <v>13</v>
      </c>
      <c r="U77" s="188">
        <f t="shared" si="11"/>
        <v>13</v>
      </c>
      <c r="V77" s="188">
        <f t="shared" si="12"/>
        <v>13</v>
      </c>
      <c r="W77" s="188">
        <f t="shared" si="13"/>
        <v>13</v>
      </c>
      <c r="X77" s="195" t="s">
        <v>357</v>
      </c>
      <c r="Y77" s="196" t="s">
        <v>548</v>
      </c>
      <c r="Z77" s="197">
        <v>2011</v>
      </c>
      <c r="AA77" s="195"/>
      <c r="AB77" s="195"/>
      <c r="AC77" s="188" t="str">
        <f>IFERROR(VLOOKUP(AD77,'[1]REFERENSI'!$H$5:$I$13,2,FALSE)," ")</f>
        <v xml:space="preserve"> </v>
      </c>
      <c r="AD77" s="195"/>
      <c r="AE77" s="189" t="s">
        <v>627</v>
      </c>
      <c r="AF77" s="195">
        <v>5</v>
      </c>
      <c r="AG77" s="195" t="s">
        <v>326</v>
      </c>
      <c r="AH77" s="208" t="str">
        <f t="shared" si="14"/>
        <v>-</v>
      </c>
      <c r="AI77" s="198" t="str">
        <f t="shared" si="15"/>
        <v xml:space="preserve"> </v>
      </c>
      <c r="AJ77" s="195"/>
      <c r="AK77" s="195"/>
      <c r="AL77" s="199"/>
      <c r="AM77" s="199"/>
      <c r="AN77" s="201"/>
      <c r="AO77" s="142"/>
      <c r="BG77" s="204"/>
    </row>
    <row r="78" s="207" customFormat="1" ht="25" customHeight="1">
      <c r="A78" s="188">
        <v>87</v>
      </c>
      <c r="B78" s="189" t="s">
        <v>483</v>
      </c>
      <c r="C78" s="190" t="str">
        <f>IFERROR(VLOOKUP(B78,REFERENSI!$C$6:$D$15,2,FALSE)," ")</f>
        <v>07</v>
      </c>
      <c r="D78" s="191">
        <v>81</v>
      </c>
      <c r="E78" s="189" t="s">
        <v>387</v>
      </c>
      <c r="F78" s="190" t="str">
        <f>IFERROR(VLOOKUP(E78,REFERENSI!$F$5:$G$6,2,FALSE)," ")</f>
        <v>02</v>
      </c>
      <c r="G78" s="189" t="s">
        <v>628</v>
      </c>
      <c r="H78" s="192" t="str">
        <f t="shared" si="9"/>
        <v xml:space="preserve">19840818  200407 07 02 81</v>
      </c>
      <c r="I78" s="189" t="s">
        <v>347</v>
      </c>
      <c r="J78" s="193">
        <v>18</v>
      </c>
      <c r="K78" s="193" t="s">
        <v>385</v>
      </c>
      <c r="L78" s="193">
        <v>1984</v>
      </c>
      <c r="M78" s="194" t="str">
        <f t="shared" si="10"/>
        <v>19840818</v>
      </c>
      <c r="N78" s="193">
        <v>17</v>
      </c>
      <c r="O78" s="193" t="s">
        <v>349</v>
      </c>
      <c r="P78" s="195">
        <v>2004</v>
      </c>
      <c r="Q78" s="193">
        <v>17</v>
      </c>
      <c r="R78" s="193" t="s">
        <v>349</v>
      </c>
      <c r="S78" s="195">
        <v>2004</v>
      </c>
      <c r="T78" s="188">
        <f t="shared" si="16"/>
        <v>21</v>
      </c>
      <c r="U78" s="188">
        <f t="shared" si="11"/>
        <v>21</v>
      </c>
      <c r="V78" s="188">
        <f t="shared" si="12"/>
        <v>21</v>
      </c>
      <c r="W78" s="188">
        <f t="shared" si="13"/>
        <v>21</v>
      </c>
      <c r="X78" s="195" t="s">
        <v>350</v>
      </c>
      <c r="Y78" s="196" t="s">
        <v>629</v>
      </c>
      <c r="Z78" s="197">
        <v>2006</v>
      </c>
      <c r="AA78" s="195"/>
      <c r="AB78" s="195"/>
      <c r="AC78" s="188" t="str">
        <f>IFERROR(VLOOKUP(AD78,'[1]REFERENSI'!$H$5:$I$13,2,FALSE)," ")</f>
        <v xml:space="preserve"> </v>
      </c>
      <c r="AD78" s="195"/>
      <c r="AE78" s="189"/>
      <c r="AF78" s="195"/>
      <c r="AG78" s="195" t="s">
        <v>415</v>
      </c>
      <c r="AH78" s="208" t="str">
        <f t="shared" si="14"/>
        <v>-</v>
      </c>
      <c r="AI78" s="198" t="str">
        <f t="shared" si="15"/>
        <v xml:space="preserve"> </v>
      </c>
      <c r="AJ78" s="195"/>
      <c r="AK78" s="195"/>
      <c r="AL78" s="199"/>
      <c r="AM78" s="209" t="s">
        <v>630</v>
      </c>
      <c r="AN78" s="210"/>
      <c r="AO78" s="142"/>
      <c r="BG78" s="204"/>
    </row>
    <row r="79" s="207" customFormat="1" ht="25" customHeight="1">
      <c r="A79" s="188">
        <v>88</v>
      </c>
      <c r="B79" s="189" t="s">
        <v>483</v>
      </c>
      <c r="C79" s="190" t="str">
        <f>IFERROR(VLOOKUP(B79,REFERENSI!$C$6:$D$15,2,FALSE)," ")</f>
        <v>07</v>
      </c>
      <c r="D79" s="191"/>
      <c r="E79" s="189" t="s">
        <v>76</v>
      </c>
      <c r="F79" s="190" t="str">
        <f>IFERROR(VLOOKUP(E79,REFERENSI!$F$5:$G$6,2,FALSE)," ")</f>
        <v>01</v>
      </c>
      <c r="G79" s="189" t="s">
        <v>631</v>
      </c>
      <c r="H79" s="192" t="str">
        <f t="shared" si="9"/>
        <v xml:space="preserve">19910807  201007 07 01 </v>
      </c>
      <c r="I79" s="189" t="s">
        <v>347</v>
      </c>
      <c r="J79" s="193" t="s">
        <v>349</v>
      </c>
      <c r="K79" s="193" t="s">
        <v>385</v>
      </c>
      <c r="L79" s="193">
        <v>1991</v>
      </c>
      <c r="M79" s="194" t="str">
        <f t="shared" si="10"/>
        <v>19910807</v>
      </c>
      <c r="N79" s="193">
        <v>12</v>
      </c>
      <c r="O79" s="193" t="s">
        <v>349</v>
      </c>
      <c r="P79" s="195">
        <v>2010</v>
      </c>
      <c r="Q79" s="193">
        <v>12</v>
      </c>
      <c r="R79" s="193" t="s">
        <v>349</v>
      </c>
      <c r="S79" s="195">
        <v>2010</v>
      </c>
      <c r="T79" s="188">
        <f t="shared" si="16"/>
        <v>15</v>
      </c>
      <c r="U79" s="188">
        <f t="shared" si="11"/>
        <v>15</v>
      </c>
      <c r="V79" s="188">
        <f t="shared" si="12"/>
        <v>15</v>
      </c>
      <c r="W79" s="188">
        <f t="shared" si="13"/>
        <v>15</v>
      </c>
      <c r="X79" s="195" t="s">
        <v>357</v>
      </c>
      <c r="Y79" s="196" t="s">
        <v>507</v>
      </c>
      <c r="Z79" s="197">
        <v>2010</v>
      </c>
      <c r="AA79" s="195"/>
      <c r="AB79" s="195"/>
      <c r="AC79" s="188" t="str">
        <f>IFERROR(VLOOKUP(AD79,'[1]REFERENSI'!$H$5:$I$13,2,FALSE)," ")</f>
        <v xml:space="preserve"> </v>
      </c>
      <c r="AD79" s="195"/>
      <c r="AE79" s="189"/>
      <c r="AF79" s="195"/>
      <c r="AG79" s="195" t="s">
        <v>326</v>
      </c>
      <c r="AH79" s="208" t="str">
        <f t="shared" si="14"/>
        <v>-</v>
      </c>
      <c r="AI79" s="198" t="str">
        <f t="shared" si="15"/>
        <v xml:space="preserve"> </v>
      </c>
      <c r="AJ79" s="195"/>
      <c r="AK79" s="195"/>
      <c r="AL79" s="199"/>
      <c r="AM79" s="199"/>
      <c r="AN79" s="201"/>
      <c r="AO79" s="142"/>
      <c r="BG79" s="204"/>
    </row>
    <row r="80" s="207" customFormat="1" ht="25" customHeight="1">
      <c r="A80" s="188">
        <v>89</v>
      </c>
      <c r="B80" s="189" t="s">
        <v>483</v>
      </c>
      <c r="C80" s="190" t="str">
        <f>IFERROR(VLOOKUP(B80,REFERENSI!$C$6:$D$15,2,FALSE)," ")</f>
        <v>07</v>
      </c>
      <c r="D80" s="191">
        <v>15</v>
      </c>
      <c r="E80" s="189" t="s">
        <v>76</v>
      </c>
      <c r="F80" s="190" t="str">
        <f>IFERROR(VLOOKUP(E80,REFERENSI!$F$5:$G$6,2,FALSE)," ")</f>
        <v>01</v>
      </c>
      <c r="G80" s="189" t="s">
        <v>632</v>
      </c>
      <c r="H80" s="192" t="str">
        <f t="shared" si="9"/>
        <v xml:space="preserve">19901114  200907 07 01 15</v>
      </c>
      <c r="I80" s="189" t="s">
        <v>347</v>
      </c>
      <c r="J80" s="193">
        <v>14</v>
      </c>
      <c r="K80" s="193">
        <v>11</v>
      </c>
      <c r="L80" s="193">
        <v>1990</v>
      </c>
      <c r="M80" s="194" t="str">
        <f t="shared" si="10"/>
        <v>19901114</v>
      </c>
      <c r="N80" s="193">
        <v>13</v>
      </c>
      <c r="O80" s="193" t="s">
        <v>349</v>
      </c>
      <c r="P80" s="195">
        <v>2009</v>
      </c>
      <c r="Q80" s="193">
        <v>12</v>
      </c>
      <c r="R80" s="193" t="s">
        <v>343</v>
      </c>
      <c r="S80" s="195">
        <v>2011</v>
      </c>
      <c r="T80" s="188">
        <f t="shared" si="16"/>
        <v>14</v>
      </c>
      <c r="U80" s="188">
        <f t="shared" si="11"/>
        <v>16</v>
      </c>
      <c r="V80" s="188">
        <f t="shared" si="12"/>
        <v>16</v>
      </c>
      <c r="W80" s="188">
        <f t="shared" si="13"/>
        <v>14</v>
      </c>
      <c r="X80" s="195" t="s">
        <v>357</v>
      </c>
      <c r="Y80" s="196" t="s">
        <v>633</v>
      </c>
      <c r="Z80" s="197">
        <v>2013</v>
      </c>
      <c r="AA80" s="195"/>
      <c r="AB80" s="195"/>
      <c r="AC80" s="188" t="str">
        <f>IFERROR(VLOOKUP(AD80,'[1]REFERENSI'!$H$5:$I$13,2,FALSE)," ")</f>
        <v xml:space="preserve"> </v>
      </c>
      <c r="AD80" s="195"/>
      <c r="AE80" s="189"/>
      <c r="AF80" s="195"/>
      <c r="AG80" s="195" t="s">
        <v>326</v>
      </c>
      <c r="AH80" s="208" t="str">
        <f t="shared" si="14"/>
        <v>-</v>
      </c>
      <c r="AI80" s="198" t="str">
        <f t="shared" si="15"/>
        <v xml:space="preserve"> </v>
      </c>
      <c r="AJ80" s="195"/>
      <c r="AK80" s="195"/>
      <c r="AL80" s="199"/>
      <c r="AM80" s="199"/>
      <c r="AN80" s="201"/>
      <c r="AO80" s="142"/>
      <c r="BG80" s="204"/>
    </row>
    <row r="81" s="207" customFormat="1" ht="25" customHeight="1">
      <c r="A81" s="188">
        <v>90</v>
      </c>
      <c r="B81" s="189" t="s">
        <v>483</v>
      </c>
      <c r="C81" s="190" t="str">
        <f>IFERROR(VLOOKUP(B81,REFERENSI!$C$6:$D$15,2,FALSE)," ")</f>
        <v>07</v>
      </c>
      <c r="D81" s="191">
        <v>75</v>
      </c>
      <c r="E81" s="189" t="s">
        <v>76</v>
      </c>
      <c r="F81" s="190" t="str">
        <f>IFERROR(VLOOKUP(E81,REFERENSI!$F$5:$G$6,2,FALSE)," ")</f>
        <v>01</v>
      </c>
      <c r="G81" s="189" t="s">
        <v>634</v>
      </c>
      <c r="H81" s="192" t="str">
        <f t="shared" si="9"/>
        <v xml:space="preserve">19880727  201307 07 01 75</v>
      </c>
      <c r="I81" s="189" t="s">
        <v>635</v>
      </c>
      <c r="J81" s="193">
        <v>27</v>
      </c>
      <c r="K81" s="193" t="s">
        <v>349</v>
      </c>
      <c r="L81" s="193">
        <v>1988</v>
      </c>
      <c r="M81" s="194" t="str">
        <f t="shared" si="10"/>
        <v>19880727</v>
      </c>
      <c r="N81" s="193" t="s">
        <v>349</v>
      </c>
      <c r="O81" s="193" t="s">
        <v>349</v>
      </c>
      <c r="P81" s="195">
        <v>2013</v>
      </c>
      <c r="Q81" s="193" t="s">
        <v>349</v>
      </c>
      <c r="R81" s="193" t="s">
        <v>349</v>
      </c>
      <c r="S81" s="195">
        <v>2013</v>
      </c>
      <c r="T81" s="188">
        <f t="shared" si="16"/>
        <v>12</v>
      </c>
      <c r="U81" s="188">
        <f t="shared" si="11"/>
        <v>12</v>
      </c>
      <c r="V81" s="188">
        <f t="shared" si="12"/>
        <v>12</v>
      </c>
      <c r="W81" s="188">
        <f t="shared" si="13"/>
        <v>12</v>
      </c>
      <c r="X81" s="195" t="s">
        <v>357</v>
      </c>
      <c r="Y81" s="196" t="s">
        <v>636</v>
      </c>
      <c r="Z81" s="197">
        <v>2012</v>
      </c>
      <c r="AA81" s="195"/>
      <c r="AB81" s="195"/>
      <c r="AC81" s="188" t="str">
        <f>IFERROR(VLOOKUP(AD81,'[1]REFERENSI'!$H$5:$I$13,2,FALSE)," ")</f>
        <v xml:space="preserve"> </v>
      </c>
      <c r="AD81" s="195"/>
      <c r="AE81" s="189"/>
      <c r="AF81" s="195"/>
      <c r="AG81" s="195" t="s">
        <v>326</v>
      </c>
      <c r="AH81" s="208" t="str">
        <f t="shared" si="14"/>
        <v>-</v>
      </c>
      <c r="AI81" s="198" t="str">
        <f t="shared" si="15"/>
        <v xml:space="preserve"> </v>
      </c>
      <c r="AJ81" s="195"/>
      <c r="AK81" s="195"/>
      <c r="AL81" s="199"/>
      <c r="AM81" s="199"/>
      <c r="AN81" s="201"/>
      <c r="AO81" s="142"/>
      <c r="BG81" s="204"/>
    </row>
    <row r="82" s="207" customFormat="1" ht="25" customHeight="1">
      <c r="A82" s="188">
        <v>92</v>
      </c>
      <c r="B82" s="189" t="s">
        <v>637</v>
      </c>
      <c r="C82" s="190" t="str">
        <f>IFERROR(VLOOKUP(B82,REFERENSI!$C$6:$D$15,2,FALSE)," ")</f>
        <v>05</v>
      </c>
      <c r="D82" s="191" t="s">
        <v>325</v>
      </c>
      <c r="E82" s="189" t="s">
        <v>76</v>
      </c>
      <c r="F82" s="190" t="str">
        <f>IFERROR(VLOOKUP(E82,REFERENSI!$F$5:$G$6,2,FALSE)," ")</f>
        <v>01</v>
      </c>
      <c r="G82" s="189" t="s">
        <v>638</v>
      </c>
      <c r="H82" s="192" t="str">
        <f t="shared" si="9"/>
        <v xml:space="preserve">19581030  198407 05 01 01</v>
      </c>
      <c r="I82" s="189" t="s">
        <v>347</v>
      </c>
      <c r="J82" s="193">
        <v>30</v>
      </c>
      <c r="K82" s="193">
        <v>10</v>
      </c>
      <c r="L82" s="193">
        <v>1958</v>
      </c>
      <c r="M82" s="194" t="str">
        <f t="shared" si="10"/>
        <v>19581030</v>
      </c>
      <c r="N82" s="193">
        <v>19</v>
      </c>
      <c r="O82" s="193" t="s">
        <v>349</v>
      </c>
      <c r="P82" s="195">
        <v>1984</v>
      </c>
      <c r="Q82" s="193">
        <v>19</v>
      </c>
      <c r="R82" s="193" t="s">
        <v>349</v>
      </c>
      <c r="S82" s="195">
        <v>1984</v>
      </c>
      <c r="T82" s="188">
        <f t="shared" si="16"/>
        <v>41</v>
      </c>
      <c r="U82" s="188">
        <f t="shared" si="11"/>
        <v>41</v>
      </c>
      <c r="V82" s="188">
        <f t="shared" si="12"/>
        <v>41</v>
      </c>
      <c r="W82" s="188">
        <f t="shared" si="13"/>
        <v>41</v>
      </c>
      <c r="X82" s="195" t="s">
        <v>357</v>
      </c>
      <c r="Y82" s="196" t="s">
        <v>639</v>
      </c>
      <c r="Z82" s="197">
        <v>1991</v>
      </c>
      <c r="AA82" s="195" t="s">
        <v>352</v>
      </c>
      <c r="AB82" s="195"/>
      <c r="AC82" s="188" t="s">
        <v>640</v>
      </c>
      <c r="AD82" s="195"/>
      <c r="AE82" s="189" t="s">
        <v>641</v>
      </c>
      <c r="AF82" s="195">
        <v>4</v>
      </c>
      <c r="AG82" s="195" t="s">
        <v>326</v>
      </c>
      <c r="AH82" s="208" t="str">
        <f t="shared" si="14"/>
        <v>-</v>
      </c>
      <c r="AI82" s="198" t="str">
        <f t="shared" si="15"/>
        <v xml:space="preserve"> </v>
      </c>
      <c r="AJ82" s="195" t="s">
        <v>358</v>
      </c>
      <c r="AK82" s="195"/>
      <c r="AL82" s="199"/>
      <c r="AM82" s="199" t="s">
        <v>642</v>
      </c>
      <c r="AN82" s="201"/>
      <c r="AO82" s="142"/>
      <c r="BG82" s="204"/>
    </row>
    <row r="83" s="207" customFormat="1" ht="25" customHeight="1">
      <c r="A83" s="188">
        <v>93</v>
      </c>
      <c r="B83" s="189" t="s">
        <v>637</v>
      </c>
      <c r="C83" s="190" t="str">
        <f>IFERROR(VLOOKUP(B83,REFERENSI!$C$6:$D$15,2,FALSE)," ")</f>
        <v>05</v>
      </c>
      <c r="D83" s="191" t="s">
        <v>343</v>
      </c>
      <c r="E83" s="189" t="s">
        <v>76</v>
      </c>
      <c r="F83" s="190" t="str">
        <f>IFERROR(VLOOKUP(E83,REFERENSI!$F$5:$G$6,2,FALSE)," ")</f>
        <v>01</v>
      </c>
      <c r="G83" s="189" t="s">
        <v>643</v>
      </c>
      <c r="H83" s="192" t="str">
        <f t="shared" si="9"/>
        <v xml:space="preserve">19650416  198907 05 01 02</v>
      </c>
      <c r="I83" s="189" t="s">
        <v>347</v>
      </c>
      <c r="J83" s="193">
        <v>16</v>
      </c>
      <c r="K83" s="193" t="s">
        <v>348</v>
      </c>
      <c r="L83" s="193">
        <v>1965</v>
      </c>
      <c r="M83" s="194" t="str">
        <f t="shared" si="10"/>
        <v>19650416</v>
      </c>
      <c r="N83" s="193" t="s">
        <v>325</v>
      </c>
      <c r="O83" s="193" t="s">
        <v>349</v>
      </c>
      <c r="P83" s="195">
        <v>1989</v>
      </c>
      <c r="Q83" s="193" t="s">
        <v>325</v>
      </c>
      <c r="R83" s="193" t="s">
        <v>349</v>
      </c>
      <c r="S83" s="195">
        <v>1989</v>
      </c>
      <c r="T83" s="188">
        <f t="shared" si="16"/>
        <v>36</v>
      </c>
      <c r="U83" s="188">
        <f t="shared" si="11"/>
        <v>36</v>
      </c>
      <c r="V83" s="188">
        <f t="shared" si="12"/>
        <v>36</v>
      </c>
      <c r="W83" s="188">
        <f t="shared" si="13"/>
        <v>36</v>
      </c>
      <c r="X83" s="195" t="s">
        <v>357</v>
      </c>
      <c r="Y83" s="196" t="s">
        <v>644</v>
      </c>
      <c r="Z83" s="197">
        <v>2001</v>
      </c>
      <c r="AA83" s="195" t="s">
        <v>358</v>
      </c>
      <c r="AB83" s="195" t="s">
        <v>397</v>
      </c>
      <c r="AC83" s="188" t="s">
        <v>645</v>
      </c>
      <c r="AD83" s="195" t="s">
        <v>577</v>
      </c>
      <c r="AE83" s="189" t="s">
        <v>646</v>
      </c>
      <c r="AF83" s="195">
        <v>12</v>
      </c>
      <c r="AG83" s="195" t="s">
        <v>374</v>
      </c>
      <c r="AH83" s="208">
        <f t="shared" si="14"/>
        <v>12</v>
      </c>
      <c r="AI83" s="198">
        <f t="shared" si="15"/>
        <v>24</v>
      </c>
      <c r="AJ83" s="195" t="s">
        <v>358</v>
      </c>
      <c r="AK83" s="195">
        <v>2008</v>
      </c>
      <c r="AL83" s="199" t="s">
        <v>647</v>
      </c>
      <c r="AM83" s="199" t="s">
        <v>648</v>
      </c>
      <c r="AN83" s="201"/>
      <c r="AO83" s="142"/>
      <c r="BG83" s="204"/>
    </row>
    <row r="84" s="207" customFormat="1" ht="25" customHeight="1">
      <c r="A84" s="188">
        <v>94</v>
      </c>
      <c r="B84" s="189" t="s">
        <v>637</v>
      </c>
      <c r="C84" s="190" t="str">
        <f>IFERROR(VLOOKUP(B84,REFERENSI!$C$6:$D$15,2,FALSE)," ")</f>
        <v>05</v>
      </c>
      <c r="D84" s="191" t="s">
        <v>354</v>
      </c>
      <c r="E84" s="189" t="s">
        <v>76</v>
      </c>
      <c r="F84" s="190" t="str">
        <f>IFERROR(VLOOKUP(E84,REFERENSI!$F$5:$G$6,2,FALSE)," ")</f>
        <v>01</v>
      </c>
      <c r="G84" s="189" t="s">
        <v>649</v>
      </c>
      <c r="H84" s="192" t="str">
        <f t="shared" si="9"/>
        <v xml:space="preserve">19660127  199107 05 01 03</v>
      </c>
      <c r="I84" s="189" t="s">
        <v>347</v>
      </c>
      <c r="J84" s="193">
        <v>27</v>
      </c>
      <c r="K84" s="193" t="s">
        <v>325</v>
      </c>
      <c r="L84" s="193">
        <v>1966</v>
      </c>
      <c r="M84" s="194" t="str">
        <f t="shared" si="10"/>
        <v>19660127</v>
      </c>
      <c r="N84" s="193">
        <v>20</v>
      </c>
      <c r="O84" s="193" t="s">
        <v>349</v>
      </c>
      <c r="P84" s="195">
        <v>1991</v>
      </c>
      <c r="Q84" s="193">
        <v>20</v>
      </c>
      <c r="R84" s="193" t="s">
        <v>349</v>
      </c>
      <c r="S84" s="195">
        <v>1991</v>
      </c>
      <c r="T84" s="188">
        <f t="shared" si="16"/>
        <v>34</v>
      </c>
      <c r="U84" s="188">
        <f t="shared" si="11"/>
        <v>34</v>
      </c>
      <c r="V84" s="188">
        <f t="shared" si="12"/>
        <v>34</v>
      </c>
      <c r="W84" s="188">
        <f t="shared" si="13"/>
        <v>34</v>
      </c>
      <c r="X84" s="195" t="s">
        <v>357</v>
      </c>
      <c r="Y84" s="196" t="s">
        <v>650</v>
      </c>
      <c r="Z84" s="197">
        <v>1991</v>
      </c>
      <c r="AA84" s="195" t="s">
        <v>358</v>
      </c>
      <c r="AB84" s="195" t="s">
        <v>397</v>
      </c>
      <c r="AC84" s="188" t="s">
        <v>645</v>
      </c>
      <c r="AD84" s="195" t="s">
        <v>577</v>
      </c>
      <c r="AE84" s="189" t="s">
        <v>651</v>
      </c>
      <c r="AF84" s="195">
        <v>26</v>
      </c>
      <c r="AG84" s="195" t="s">
        <v>326</v>
      </c>
      <c r="AH84" s="208" t="str">
        <f t="shared" si="14"/>
        <v>-</v>
      </c>
      <c r="AI84" s="198" t="str">
        <f t="shared" si="15"/>
        <v xml:space="preserve"> </v>
      </c>
      <c r="AJ84" s="195" t="s">
        <v>358</v>
      </c>
      <c r="AK84" s="195">
        <v>2008</v>
      </c>
      <c r="AL84" s="199" t="s">
        <v>652</v>
      </c>
      <c r="AM84" s="199" t="s">
        <v>653</v>
      </c>
      <c r="AN84" s="201"/>
      <c r="AO84" s="142"/>
      <c r="BG84" s="204"/>
    </row>
    <row r="85" s="207" customFormat="1" ht="25" customHeight="1">
      <c r="A85" s="188">
        <v>95</v>
      </c>
      <c r="B85" s="189" t="s">
        <v>637</v>
      </c>
      <c r="C85" s="190" t="str">
        <f>IFERROR(VLOOKUP(B85,REFERENSI!$C$6:$D$15,2,FALSE)," ")</f>
        <v>05</v>
      </c>
      <c r="D85" s="191" t="s">
        <v>348</v>
      </c>
      <c r="E85" s="189" t="s">
        <v>76</v>
      </c>
      <c r="F85" s="190" t="str">
        <f>IFERROR(VLOOKUP(E85,REFERENSI!$F$5:$G$6,2,FALSE)," ")</f>
        <v>01</v>
      </c>
      <c r="G85" s="189" t="s">
        <v>654</v>
      </c>
      <c r="H85" s="192" t="str">
        <f t="shared" si="9"/>
        <v xml:space="preserve">19680403  199307 05 01 04</v>
      </c>
      <c r="I85" s="189" t="s">
        <v>655</v>
      </c>
      <c r="J85" s="193" t="s">
        <v>354</v>
      </c>
      <c r="K85" s="193" t="s">
        <v>348</v>
      </c>
      <c r="L85" s="193">
        <v>1968</v>
      </c>
      <c r="M85" s="194" t="str">
        <f t="shared" si="10"/>
        <v>19680403</v>
      </c>
      <c r="N85" s="193" t="s">
        <v>437</v>
      </c>
      <c r="O85" s="193" t="s">
        <v>349</v>
      </c>
      <c r="P85" s="195">
        <v>1993</v>
      </c>
      <c r="Q85" s="193" t="s">
        <v>437</v>
      </c>
      <c r="R85" s="193" t="s">
        <v>349</v>
      </c>
      <c r="S85" s="195">
        <v>1993</v>
      </c>
      <c r="T85" s="188">
        <f t="shared" si="16"/>
        <v>32</v>
      </c>
      <c r="U85" s="188">
        <f t="shared" si="11"/>
        <v>32</v>
      </c>
      <c r="V85" s="188">
        <f t="shared" si="12"/>
        <v>32</v>
      </c>
      <c r="W85" s="188">
        <f t="shared" si="13"/>
        <v>32</v>
      </c>
      <c r="X85" s="195" t="s">
        <v>357</v>
      </c>
      <c r="Y85" s="196" t="s">
        <v>639</v>
      </c>
      <c r="Z85" s="197">
        <v>1993</v>
      </c>
      <c r="AA85" s="195" t="s">
        <v>358</v>
      </c>
      <c r="AB85" s="195" t="s">
        <v>397</v>
      </c>
      <c r="AC85" s="188" t="s">
        <v>645</v>
      </c>
      <c r="AD85" s="195" t="s">
        <v>577</v>
      </c>
      <c r="AE85" s="189" t="s">
        <v>656</v>
      </c>
      <c r="AF85" s="195">
        <v>20</v>
      </c>
      <c r="AG85" s="195" t="s">
        <v>355</v>
      </c>
      <c r="AH85" s="208">
        <f t="shared" si="14"/>
        <v>12</v>
      </c>
      <c r="AI85" s="198">
        <f t="shared" si="15"/>
        <v>32</v>
      </c>
      <c r="AJ85" s="195" t="s">
        <v>358</v>
      </c>
      <c r="AK85" s="195">
        <v>2008</v>
      </c>
      <c r="AL85" s="199" t="s">
        <v>657</v>
      </c>
      <c r="AM85" s="199" t="s">
        <v>658</v>
      </c>
      <c r="AN85" s="201"/>
      <c r="AO85" s="142"/>
      <c r="BG85" s="204"/>
    </row>
    <row r="86" s="207" customFormat="1" ht="25" customHeight="1">
      <c r="A86" s="188">
        <v>96</v>
      </c>
      <c r="B86" s="189" t="s">
        <v>637</v>
      </c>
      <c r="C86" s="190" t="str">
        <f>IFERROR(VLOOKUP(B86,REFERENSI!$C$6:$D$15,2,FALSE)," ")</f>
        <v>05</v>
      </c>
      <c r="D86" s="191" t="s">
        <v>368</v>
      </c>
      <c r="E86" s="189" t="s">
        <v>76</v>
      </c>
      <c r="F86" s="190" t="str">
        <f>IFERROR(VLOOKUP(E86,REFERENSI!$F$5:$G$6,2,FALSE)," ")</f>
        <v>01</v>
      </c>
      <c r="G86" s="189" t="s">
        <v>659</v>
      </c>
      <c r="H86" s="192" t="str">
        <f t="shared" si="9"/>
        <v xml:space="preserve">19660322  200307 05 01 05</v>
      </c>
      <c r="I86" s="189" t="s">
        <v>347</v>
      </c>
      <c r="J86" s="193">
        <v>22</v>
      </c>
      <c r="K86" s="193" t="s">
        <v>354</v>
      </c>
      <c r="L86" s="193">
        <v>1966</v>
      </c>
      <c r="M86" s="194" t="str">
        <f t="shared" si="10"/>
        <v>19660322</v>
      </c>
      <c r="N86" s="193" t="s">
        <v>432</v>
      </c>
      <c r="O86" s="193" t="s">
        <v>349</v>
      </c>
      <c r="P86" s="195">
        <v>2003</v>
      </c>
      <c r="Q86" s="193" t="s">
        <v>432</v>
      </c>
      <c r="R86" s="193" t="s">
        <v>349</v>
      </c>
      <c r="S86" s="195">
        <v>2003</v>
      </c>
      <c r="T86" s="188">
        <f t="shared" si="16"/>
        <v>22</v>
      </c>
      <c r="U86" s="188">
        <f t="shared" si="11"/>
        <v>22</v>
      </c>
      <c r="V86" s="188">
        <f t="shared" si="12"/>
        <v>22</v>
      </c>
      <c r="W86" s="188">
        <f t="shared" si="13"/>
        <v>22</v>
      </c>
      <c r="X86" s="195" t="s">
        <v>357</v>
      </c>
      <c r="Y86" s="196" t="s">
        <v>639</v>
      </c>
      <c r="Z86" s="197">
        <v>1993</v>
      </c>
      <c r="AA86" s="195" t="s">
        <v>358</v>
      </c>
      <c r="AB86" s="195" t="s">
        <v>364</v>
      </c>
      <c r="AC86" s="188" t="s">
        <v>660</v>
      </c>
      <c r="AD86" s="195" t="s">
        <v>565</v>
      </c>
      <c r="AE86" s="189" t="s">
        <v>661</v>
      </c>
      <c r="AF86" s="195">
        <v>20</v>
      </c>
      <c r="AG86" s="195" t="s">
        <v>405</v>
      </c>
      <c r="AH86" s="208">
        <f t="shared" si="14"/>
        <v>12</v>
      </c>
      <c r="AI86" s="198">
        <f t="shared" si="15"/>
        <v>32</v>
      </c>
      <c r="AJ86" s="195" t="s">
        <v>358</v>
      </c>
      <c r="AK86" s="195">
        <v>2012</v>
      </c>
      <c r="AL86" s="199" t="s">
        <v>662</v>
      </c>
      <c r="AM86" s="199" t="s">
        <v>663</v>
      </c>
      <c r="AN86" s="201"/>
      <c r="AO86" s="142"/>
      <c r="BG86" s="204"/>
    </row>
    <row r="87" s="207" customFormat="1" ht="25" customHeight="1">
      <c r="A87" s="188">
        <v>97</v>
      </c>
      <c r="B87" s="189" t="s">
        <v>637</v>
      </c>
      <c r="C87" s="190" t="str">
        <f>IFERROR(VLOOKUP(B87,REFERENSI!$C$6:$D$15,2,FALSE)," ")</f>
        <v>05</v>
      </c>
      <c r="D87" s="191" t="s">
        <v>373</v>
      </c>
      <c r="E87" s="189" t="s">
        <v>76</v>
      </c>
      <c r="F87" s="190" t="str">
        <f>IFERROR(VLOOKUP(E87,REFERENSI!$F$5:$G$6,2,FALSE)," ")</f>
        <v>01</v>
      </c>
      <c r="G87" s="189" t="s">
        <v>664</v>
      </c>
      <c r="H87" s="192" t="str">
        <f t="shared" si="9"/>
        <v xml:space="preserve">19830915  200307 05 01 06</v>
      </c>
      <c r="I87" s="189" t="s">
        <v>347</v>
      </c>
      <c r="J87" s="193" t="s">
        <v>423</v>
      </c>
      <c r="K87" s="193" t="s">
        <v>393</v>
      </c>
      <c r="L87" s="193">
        <v>1983</v>
      </c>
      <c r="M87" s="194" t="str">
        <f t="shared" si="10"/>
        <v>19830915</v>
      </c>
      <c r="N87" s="193">
        <v>19</v>
      </c>
      <c r="O87" s="193" t="s">
        <v>349</v>
      </c>
      <c r="P87" s="195">
        <v>2003</v>
      </c>
      <c r="Q87" s="193">
        <v>19</v>
      </c>
      <c r="R87" s="193" t="s">
        <v>349</v>
      </c>
      <c r="S87" s="195">
        <v>2003</v>
      </c>
      <c r="T87" s="188">
        <f t="shared" si="16"/>
        <v>22</v>
      </c>
      <c r="U87" s="188">
        <f t="shared" si="11"/>
        <v>22</v>
      </c>
      <c r="V87" s="188">
        <f t="shared" si="12"/>
        <v>22</v>
      </c>
      <c r="W87" s="188">
        <f t="shared" si="13"/>
        <v>22</v>
      </c>
      <c r="X87" s="195" t="s">
        <v>665</v>
      </c>
      <c r="Y87" s="196" t="s">
        <v>666</v>
      </c>
      <c r="Z87" s="197">
        <v>2010</v>
      </c>
      <c r="AA87" s="195" t="s">
        <v>352</v>
      </c>
      <c r="AB87" s="195"/>
      <c r="AC87" s="188" t="s">
        <v>640</v>
      </c>
      <c r="AD87" s="195"/>
      <c r="AE87" s="189" t="s">
        <v>667</v>
      </c>
      <c r="AF87" s="195">
        <v>24</v>
      </c>
      <c r="AG87" s="195" t="s">
        <v>394</v>
      </c>
      <c r="AH87" s="208">
        <f t="shared" si="14"/>
        <v>12</v>
      </c>
      <c r="AI87" s="198">
        <f t="shared" si="15"/>
        <v>36</v>
      </c>
      <c r="AJ87" s="195" t="s">
        <v>352</v>
      </c>
      <c r="AK87" s="195"/>
      <c r="AL87" s="199"/>
      <c r="AM87" s="199" t="s">
        <v>668</v>
      </c>
      <c r="AN87" s="201"/>
      <c r="AO87" s="142"/>
      <c r="BG87" s="204"/>
    </row>
    <row r="88" s="207" customFormat="1" ht="25" customHeight="1">
      <c r="A88" s="188">
        <v>98</v>
      </c>
      <c r="B88" s="189" t="s">
        <v>637</v>
      </c>
      <c r="C88" s="190" t="str">
        <f>IFERROR(VLOOKUP(B88,REFERENSI!$C$6:$D$15,2,FALSE)," ")</f>
        <v>05</v>
      </c>
      <c r="D88" s="191" t="s">
        <v>349</v>
      </c>
      <c r="E88" s="189" t="s">
        <v>327</v>
      </c>
      <c r="F88" s="190" t="str">
        <f>IFERROR(VLOOKUP(E88,REFERENSI!$F$5:$G$6,2,FALSE)," ")</f>
        <v xml:space="preserve"> </v>
      </c>
      <c r="G88" s="189" t="s">
        <v>669</v>
      </c>
      <c r="H88" s="192" t="str">
        <f t="shared" si="9"/>
        <v xml:space="preserve">19560410  200407 05   07</v>
      </c>
      <c r="I88" s="189" t="s">
        <v>670</v>
      </c>
      <c r="J88" s="193">
        <v>10</v>
      </c>
      <c r="K88" s="193" t="s">
        <v>348</v>
      </c>
      <c r="L88" s="193">
        <v>1956</v>
      </c>
      <c r="M88" s="194" t="str">
        <f t="shared" si="10"/>
        <v>19560410</v>
      </c>
      <c r="N88" s="193">
        <v>17</v>
      </c>
      <c r="O88" s="193" t="s">
        <v>349</v>
      </c>
      <c r="P88" s="195">
        <v>2004</v>
      </c>
      <c r="Q88" s="193">
        <v>17</v>
      </c>
      <c r="R88" s="193" t="s">
        <v>349</v>
      </c>
      <c r="S88" s="195">
        <v>2004</v>
      </c>
      <c r="T88" s="188">
        <f t="shared" si="16"/>
        <v>21</v>
      </c>
      <c r="U88" s="188">
        <f t="shared" si="11"/>
        <v>21</v>
      </c>
      <c r="V88" s="188">
        <f t="shared" si="12"/>
        <v>21</v>
      </c>
      <c r="W88" s="188">
        <f t="shared" si="13"/>
        <v>21</v>
      </c>
      <c r="X88" s="195" t="s">
        <v>389</v>
      </c>
      <c r="Y88" s="196" t="s">
        <v>469</v>
      </c>
      <c r="Z88" s="197">
        <v>1989</v>
      </c>
      <c r="AA88" s="195" t="s">
        <v>352</v>
      </c>
      <c r="AB88" s="195"/>
      <c r="AC88" s="188" t="s">
        <v>640</v>
      </c>
      <c r="AD88" s="195"/>
      <c r="AE88" s="189" t="s">
        <v>558</v>
      </c>
      <c r="AF88" s="195">
        <v>24</v>
      </c>
      <c r="AG88" s="195" t="s">
        <v>344</v>
      </c>
      <c r="AH88" s="208">
        <f t="shared" si="14"/>
        <v>18</v>
      </c>
      <c r="AI88" s="198">
        <f t="shared" si="15"/>
        <v>42</v>
      </c>
      <c r="AJ88" s="195" t="s">
        <v>352</v>
      </c>
      <c r="AK88" s="195"/>
      <c r="AL88" s="199"/>
      <c r="AM88" s="199" t="s">
        <v>671</v>
      </c>
      <c r="AN88" s="201"/>
      <c r="AO88" s="142"/>
      <c r="BG88" s="204"/>
    </row>
    <row r="89" s="207" customFormat="1" ht="25" customHeight="1">
      <c r="A89" s="188">
        <v>99</v>
      </c>
      <c r="B89" s="189" t="s">
        <v>637</v>
      </c>
      <c r="C89" s="190" t="str">
        <f>IFERROR(VLOOKUP(B89,REFERENSI!$C$6:$D$15,2,FALSE)," ")</f>
        <v>05</v>
      </c>
      <c r="D89" s="191" t="s">
        <v>385</v>
      </c>
      <c r="E89" s="189" t="s">
        <v>76</v>
      </c>
      <c r="F89" s="190" t="str">
        <f>IFERROR(VLOOKUP(E89,REFERENSI!$F$5:$G$6,2,FALSE)," ")</f>
        <v>01</v>
      </c>
      <c r="G89" s="189" t="s">
        <v>672</v>
      </c>
      <c r="H89" s="192" t="str">
        <f t="shared" si="9"/>
        <v xml:space="preserve">19801021  200407 05 01 08</v>
      </c>
      <c r="I89" s="189" t="s">
        <v>347</v>
      </c>
      <c r="J89" s="193">
        <v>21</v>
      </c>
      <c r="K89" s="193">
        <v>10</v>
      </c>
      <c r="L89" s="193">
        <v>1980</v>
      </c>
      <c r="M89" s="194" t="str">
        <f t="shared" si="10"/>
        <v>19801021</v>
      </c>
      <c r="N89" s="193">
        <v>17</v>
      </c>
      <c r="O89" s="193" t="s">
        <v>349</v>
      </c>
      <c r="P89" s="195">
        <v>2004</v>
      </c>
      <c r="Q89" s="193">
        <v>17</v>
      </c>
      <c r="R89" s="193" t="s">
        <v>349</v>
      </c>
      <c r="S89" s="195">
        <v>2004</v>
      </c>
      <c r="T89" s="188">
        <f t="shared" si="16"/>
        <v>21</v>
      </c>
      <c r="U89" s="188">
        <f t="shared" si="11"/>
        <v>21</v>
      </c>
      <c r="V89" s="188">
        <f t="shared" si="12"/>
        <v>21</v>
      </c>
      <c r="W89" s="188">
        <f t="shared" si="13"/>
        <v>21</v>
      </c>
      <c r="X89" s="195" t="s">
        <v>357</v>
      </c>
      <c r="Y89" s="196" t="s">
        <v>673</v>
      </c>
      <c r="Z89" s="197">
        <v>2004</v>
      </c>
      <c r="AA89" s="195" t="s">
        <v>358</v>
      </c>
      <c r="AB89" s="195" t="s">
        <v>364</v>
      </c>
      <c r="AC89" s="188" t="s">
        <v>674</v>
      </c>
      <c r="AD89" s="195" t="s">
        <v>365</v>
      </c>
      <c r="AE89" s="189" t="s">
        <v>675</v>
      </c>
      <c r="AF89" s="195">
        <v>22</v>
      </c>
      <c r="AG89" s="195" t="s">
        <v>326</v>
      </c>
      <c r="AH89" s="208" t="str">
        <f t="shared" si="14"/>
        <v>-</v>
      </c>
      <c r="AI89" s="198" t="str">
        <f t="shared" si="15"/>
        <v xml:space="preserve"> </v>
      </c>
      <c r="AJ89" s="195" t="s">
        <v>358</v>
      </c>
      <c r="AK89" s="195">
        <v>2010</v>
      </c>
      <c r="AL89" s="199" t="s">
        <v>676</v>
      </c>
      <c r="AM89" s="199" t="s">
        <v>677</v>
      </c>
      <c r="AN89" s="201"/>
      <c r="AO89" s="142"/>
      <c r="BG89" s="204"/>
    </row>
    <row r="90" s="207" customFormat="1" ht="25" customHeight="1">
      <c r="A90" s="188">
        <v>102</v>
      </c>
      <c r="B90" s="189" t="s">
        <v>637</v>
      </c>
      <c r="C90" s="190" t="str">
        <f>IFERROR(VLOOKUP(B90,REFERENSI!$C$6:$D$15,2,FALSE)," ")</f>
        <v>05</v>
      </c>
      <c r="D90" s="191" t="s">
        <v>393</v>
      </c>
      <c r="E90" s="189" t="s">
        <v>76</v>
      </c>
      <c r="F90" s="190" t="str">
        <f>IFERROR(VLOOKUP(E90,REFERENSI!$F$5:$G$6,2,FALSE)," ")</f>
        <v>01</v>
      </c>
      <c r="G90" s="189" t="s">
        <v>678</v>
      </c>
      <c r="H90" s="192" t="str">
        <f t="shared" si="9"/>
        <v xml:space="preserve">19820928  200507 05 01 09</v>
      </c>
      <c r="I90" s="189" t="s">
        <v>347</v>
      </c>
      <c r="J90" s="193">
        <v>28</v>
      </c>
      <c r="K90" s="193" t="s">
        <v>393</v>
      </c>
      <c r="L90" s="193">
        <v>1982</v>
      </c>
      <c r="M90" s="194" t="str">
        <f t="shared" si="10"/>
        <v>19820928</v>
      </c>
      <c r="N90" s="193">
        <v>18</v>
      </c>
      <c r="O90" s="193" t="s">
        <v>349</v>
      </c>
      <c r="P90" s="195">
        <v>2005</v>
      </c>
      <c r="Q90" s="193">
        <v>18</v>
      </c>
      <c r="R90" s="193" t="s">
        <v>349</v>
      </c>
      <c r="S90" s="195">
        <v>2005</v>
      </c>
      <c r="T90" s="188">
        <f t="shared" si="16"/>
        <v>20</v>
      </c>
      <c r="U90" s="188">
        <f t="shared" si="11"/>
        <v>20</v>
      </c>
      <c r="V90" s="188">
        <f t="shared" si="12"/>
        <v>20</v>
      </c>
      <c r="W90" s="188">
        <f t="shared" si="13"/>
        <v>20</v>
      </c>
      <c r="X90" s="195" t="s">
        <v>357</v>
      </c>
      <c r="Y90" s="196" t="s">
        <v>679</v>
      </c>
      <c r="Z90" s="197">
        <v>2005</v>
      </c>
      <c r="AA90" s="195" t="s">
        <v>358</v>
      </c>
      <c r="AB90" s="195"/>
      <c r="AC90" s="188" t="s">
        <v>640</v>
      </c>
      <c r="AD90" s="195"/>
      <c r="AE90" s="189" t="s">
        <v>680</v>
      </c>
      <c r="AF90" s="195">
        <v>28</v>
      </c>
      <c r="AG90" s="195" t="s">
        <v>326</v>
      </c>
      <c r="AH90" s="208" t="str">
        <f t="shared" si="14"/>
        <v>-</v>
      </c>
      <c r="AI90" s="198" t="str">
        <f t="shared" si="15"/>
        <v xml:space="preserve"> </v>
      </c>
      <c r="AJ90" s="195" t="s">
        <v>358</v>
      </c>
      <c r="AK90" s="195">
        <v>2013</v>
      </c>
      <c r="AL90" s="199" t="s">
        <v>681</v>
      </c>
      <c r="AM90" s="199" t="s">
        <v>682</v>
      </c>
      <c r="AN90" s="201"/>
      <c r="AO90" s="142"/>
      <c r="BG90" s="204"/>
    </row>
    <row r="91" s="207" customFormat="1" ht="25" customHeight="1">
      <c r="A91" s="188">
        <v>103</v>
      </c>
      <c r="B91" s="189" t="s">
        <v>637</v>
      </c>
      <c r="C91" s="190" t="str">
        <f>IFERROR(VLOOKUP(B91,REFERENSI!$C$6:$D$15,2,FALSE)," ")</f>
        <v>05</v>
      </c>
      <c r="D91" s="191">
        <v>10</v>
      </c>
      <c r="E91" s="189" t="s">
        <v>76</v>
      </c>
      <c r="F91" s="190" t="str">
        <f>IFERROR(VLOOKUP(E91,REFERENSI!$F$5:$G$6,2,FALSE)," ")</f>
        <v>01</v>
      </c>
      <c r="G91" s="189" t="s">
        <v>683</v>
      </c>
      <c r="H91" s="192" t="str">
        <f t="shared" si="9"/>
        <v xml:space="preserve">19790502  200707 05 01 10</v>
      </c>
      <c r="I91" s="189" t="s">
        <v>684</v>
      </c>
      <c r="J91" s="193" t="s">
        <v>343</v>
      </c>
      <c r="K91" s="193" t="s">
        <v>368</v>
      </c>
      <c r="L91" s="193">
        <v>1979</v>
      </c>
      <c r="M91" s="194" t="str">
        <f t="shared" si="10"/>
        <v>19790502</v>
      </c>
      <c r="N91" s="193">
        <v>13</v>
      </c>
      <c r="O91" s="193" t="s">
        <v>349</v>
      </c>
      <c r="P91" s="195">
        <v>2007</v>
      </c>
      <c r="Q91" s="193">
        <v>13</v>
      </c>
      <c r="R91" s="193" t="s">
        <v>349</v>
      </c>
      <c r="S91" s="195">
        <v>2007</v>
      </c>
      <c r="T91" s="188">
        <f t="shared" si="16"/>
        <v>18</v>
      </c>
      <c r="U91" s="188">
        <f t="shared" si="11"/>
        <v>18</v>
      </c>
      <c r="V91" s="188">
        <f t="shared" si="12"/>
        <v>18</v>
      </c>
      <c r="W91" s="188">
        <f t="shared" si="13"/>
        <v>18</v>
      </c>
      <c r="X91" s="195" t="s">
        <v>357</v>
      </c>
      <c r="Y91" s="196" t="s">
        <v>685</v>
      </c>
      <c r="Z91" s="197">
        <v>2004</v>
      </c>
      <c r="AA91" s="195" t="s">
        <v>352</v>
      </c>
      <c r="AB91" s="195"/>
      <c r="AC91" s="188" t="s">
        <v>640</v>
      </c>
      <c r="AD91" s="195"/>
      <c r="AE91" s="189" t="s">
        <v>686</v>
      </c>
      <c r="AF91" s="195">
        <v>8</v>
      </c>
      <c r="AG91" s="195" t="s">
        <v>326</v>
      </c>
      <c r="AH91" s="208" t="str">
        <f t="shared" si="14"/>
        <v>-</v>
      </c>
      <c r="AI91" s="198" t="str">
        <f t="shared" si="15"/>
        <v xml:space="preserve"> </v>
      </c>
      <c r="AJ91" s="195" t="s">
        <v>352</v>
      </c>
      <c r="AK91" s="195"/>
      <c r="AL91" s="199"/>
      <c r="AM91" s="199" t="s">
        <v>687</v>
      </c>
      <c r="AN91" s="201"/>
      <c r="AO91" s="142"/>
      <c r="BG91" s="204"/>
    </row>
    <row r="92" s="207" customFormat="1" ht="25" customHeight="1">
      <c r="A92" s="188">
        <v>104</v>
      </c>
      <c r="B92" s="189" t="s">
        <v>637</v>
      </c>
      <c r="C92" s="190" t="str">
        <f>IFERROR(VLOOKUP(B92,REFERENSI!$C$6:$D$15,2,FALSE)," ")</f>
        <v>05</v>
      </c>
      <c r="D92" s="191">
        <v>11</v>
      </c>
      <c r="E92" s="189" t="s">
        <v>76</v>
      </c>
      <c r="F92" s="190" t="str">
        <f>IFERROR(VLOOKUP(E92,REFERENSI!$F$5:$G$6,2,FALSE)," ")</f>
        <v>01</v>
      </c>
      <c r="G92" s="189" t="s">
        <v>688</v>
      </c>
      <c r="H92" s="192" t="str">
        <f t="shared" si="9"/>
        <v xml:space="preserve">19871222  200707 05 01 11</v>
      </c>
      <c r="I92" s="189" t="s">
        <v>689</v>
      </c>
      <c r="J92" s="193">
        <v>22</v>
      </c>
      <c r="K92" s="193">
        <v>12</v>
      </c>
      <c r="L92" s="193">
        <v>1987</v>
      </c>
      <c r="M92" s="194" t="str">
        <f t="shared" si="10"/>
        <v>19871222</v>
      </c>
      <c r="N92" s="193">
        <v>13</v>
      </c>
      <c r="O92" s="193" t="s">
        <v>349</v>
      </c>
      <c r="P92" s="195">
        <v>2007</v>
      </c>
      <c r="Q92" s="193">
        <v>13</v>
      </c>
      <c r="R92" s="193" t="s">
        <v>349</v>
      </c>
      <c r="S92" s="195">
        <v>2007</v>
      </c>
      <c r="T92" s="188">
        <f t="shared" si="16"/>
        <v>18</v>
      </c>
      <c r="U92" s="188">
        <f t="shared" si="11"/>
        <v>18</v>
      </c>
      <c r="V92" s="188">
        <f t="shared" si="12"/>
        <v>18</v>
      </c>
      <c r="W92" s="188">
        <f t="shared" si="13"/>
        <v>18</v>
      </c>
      <c r="X92" s="195" t="s">
        <v>357</v>
      </c>
      <c r="Y92" s="196" t="s">
        <v>562</v>
      </c>
      <c r="Z92" s="197">
        <v>2011</v>
      </c>
      <c r="AA92" s="195" t="s">
        <v>352</v>
      </c>
      <c r="AB92" s="195"/>
      <c r="AC92" s="188" t="s">
        <v>640</v>
      </c>
      <c r="AD92" s="195"/>
      <c r="AE92" s="189" t="s">
        <v>690</v>
      </c>
      <c r="AF92" s="195">
        <v>4</v>
      </c>
      <c r="AG92" s="195" t="s">
        <v>326</v>
      </c>
      <c r="AH92" s="208" t="str">
        <f t="shared" si="14"/>
        <v>-</v>
      </c>
      <c r="AI92" s="198" t="str">
        <f t="shared" si="15"/>
        <v xml:space="preserve"> </v>
      </c>
      <c r="AJ92" s="195" t="s">
        <v>352</v>
      </c>
      <c r="AK92" s="195"/>
      <c r="AL92" s="199"/>
      <c r="AM92" s="199" t="s">
        <v>691</v>
      </c>
      <c r="AN92" s="201"/>
      <c r="AO92" s="142"/>
      <c r="BG92" s="204"/>
    </row>
    <row r="93" s="207" customFormat="1" ht="25" customHeight="1">
      <c r="A93" s="188">
        <v>105</v>
      </c>
      <c r="B93" s="189" t="s">
        <v>637</v>
      </c>
      <c r="C93" s="190" t="str">
        <f>IFERROR(VLOOKUP(B93,REFERENSI!$C$6:$D$15,2,FALSE)," ")</f>
        <v>05</v>
      </c>
      <c r="D93" s="191">
        <v>12</v>
      </c>
      <c r="E93" s="189" t="s">
        <v>76</v>
      </c>
      <c r="F93" s="190" t="str">
        <f>IFERROR(VLOOKUP(E93,REFERENSI!$F$5:$G$6,2,FALSE)," ")</f>
        <v>01</v>
      </c>
      <c r="G93" s="189" t="s">
        <v>692</v>
      </c>
      <c r="H93" s="192" t="str">
        <f t="shared" si="9"/>
        <v xml:space="preserve">19770624  200707 05 01 12</v>
      </c>
      <c r="I93" s="189" t="s">
        <v>689</v>
      </c>
      <c r="J93" s="193">
        <v>24</v>
      </c>
      <c r="K93" s="193" t="s">
        <v>373</v>
      </c>
      <c r="L93" s="193">
        <v>1977</v>
      </c>
      <c r="M93" s="194" t="str">
        <f t="shared" si="10"/>
        <v>19770624</v>
      </c>
      <c r="N93" s="193" t="s">
        <v>325</v>
      </c>
      <c r="O93" s="193" t="s">
        <v>349</v>
      </c>
      <c r="P93" s="195">
        <v>2007</v>
      </c>
      <c r="Q93" s="193" t="s">
        <v>325</v>
      </c>
      <c r="R93" s="193" t="s">
        <v>349</v>
      </c>
      <c r="S93" s="195">
        <v>2007</v>
      </c>
      <c r="T93" s="188">
        <f t="shared" si="16"/>
        <v>18</v>
      </c>
      <c r="U93" s="188">
        <f t="shared" si="11"/>
        <v>18</v>
      </c>
      <c r="V93" s="188">
        <f t="shared" si="12"/>
        <v>18</v>
      </c>
      <c r="W93" s="188">
        <f t="shared" si="13"/>
        <v>18</v>
      </c>
      <c r="X93" s="195" t="s">
        <v>357</v>
      </c>
      <c r="Y93" s="196" t="s">
        <v>666</v>
      </c>
      <c r="Z93" s="197">
        <v>1999</v>
      </c>
      <c r="AA93" s="195" t="s">
        <v>352</v>
      </c>
      <c r="AB93" s="195"/>
      <c r="AC93" s="188" t="s">
        <v>640</v>
      </c>
      <c r="AD93" s="195"/>
      <c r="AE93" s="189" t="s">
        <v>693</v>
      </c>
      <c r="AF93" s="195">
        <v>24</v>
      </c>
      <c r="AG93" s="195" t="s">
        <v>326</v>
      </c>
      <c r="AH93" s="208" t="str">
        <f t="shared" si="14"/>
        <v>-</v>
      </c>
      <c r="AI93" s="198" t="str">
        <f t="shared" si="15"/>
        <v xml:space="preserve"> </v>
      </c>
      <c r="AJ93" s="195" t="s">
        <v>352</v>
      </c>
      <c r="AK93" s="195"/>
      <c r="AL93" s="199"/>
      <c r="AM93" s="199" t="s">
        <v>694</v>
      </c>
      <c r="AN93" s="201"/>
      <c r="AO93" s="142"/>
      <c r="BG93" s="204"/>
    </row>
    <row r="94" s="207" customFormat="1" ht="25" customHeight="1">
      <c r="A94" s="188">
        <v>106</v>
      </c>
      <c r="B94" s="189" t="s">
        <v>637</v>
      </c>
      <c r="C94" s="190" t="str">
        <f>IFERROR(VLOOKUP(B94,REFERENSI!$C$6:$D$15,2,FALSE)," ")</f>
        <v>05</v>
      </c>
      <c r="D94" s="191">
        <v>13</v>
      </c>
      <c r="E94" s="189" t="s">
        <v>76</v>
      </c>
      <c r="F94" s="190" t="str">
        <f>IFERROR(VLOOKUP(E94,REFERENSI!$F$5:$G$6,2,FALSE)," ")</f>
        <v>01</v>
      </c>
      <c r="G94" s="189" t="s">
        <v>695</v>
      </c>
      <c r="H94" s="192" t="str">
        <f t="shared" si="9"/>
        <v xml:space="preserve">19730507  200807 05 01 13</v>
      </c>
      <c r="I94" s="189" t="s">
        <v>696</v>
      </c>
      <c r="J94" s="193" t="s">
        <v>349</v>
      </c>
      <c r="K94" s="193" t="s">
        <v>368</v>
      </c>
      <c r="L94" s="193">
        <v>1973</v>
      </c>
      <c r="M94" s="194" t="str">
        <f t="shared" si="10"/>
        <v>19730507</v>
      </c>
      <c r="N94" s="193">
        <v>14</v>
      </c>
      <c r="O94" s="193" t="s">
        <v>349</v>
      </c>
      <c r="P94" s="195">
        <v>2008</v>
      </c>
      <c r="Q94" s="193">
        <v>14</v>
      </c>
      <c r="R94" s="193" t="s">
        <v>349</v>
      </c>
      <c r="S94" s="195">
        <v>2008</v>
      </c>
      <c r="T94" s="188">
        <f t="shared" si="16"/>
        <v>17</v>
      </c>
      <c r="U94" s="188">
        <f t="shared" si="11"/>
        <v>17</v>
      </c>
      <c r="V94" s="188">
        <f t="shared" si="12"/>
        <v>17</v>
      </c>
      <c r="W94" s="188">
        <f t="shared" si="13"/>
        <v>17</v>
      </c>
      <c r="X94" s="195" t="s">
        <v>357</v>
      </c>
      <c r="Y94" s="196" t="s">
        <v>697</v>
      </c>
      <c r="Z94" s="197">
        <v>2011</v>
      </c>
      <c r="AA94" s="195" t="s">
        <v>352</v>
      </c>
      <c r="AB94" s="195"/>
      <c r="AC94" s="188" t="s">
        <v>640</v>
      </c>
      <c r="AD94" s="195"/>
      <c r="AE94" s="189" t="s">
        <v>562</v>
      </c>
      <c r="AF94" s="195">
        <v>8</v>
      </c>
      <c r="AG94" s="195" t="s">
        <v>326</v>
      </c>
      <c r="AH94" s="208" t="str">
        <f t="shared" si="14"/>
        <v>-</v>
      </c>
      <c r="AI94" s="198" t="str">
        <f t="shared" si="15"/>
        <v xml:space="preserve"> </v>
      </c>
      <c r="AJ94" s="195" t="s">
        <v>352</v>
      </c>
      <c r="AK94" s="195"/>
      <c r="AL94" s="199"/>
      <c r="AM94" s="199" t="s">
        <v>698</v>
      </c>
      <c r="AN94" s="201"/>
      <c r="AO94" s="142"/>
      <c r="BG94" s="204"/>
    </row>
    <row r="95" s="207" customFormat="1" ht="25" customHeight="1">
      <c r="A95" s="188">
        <v>107</v>
      </c>
      <c r="B95" s="189" t="s">
        <v>637</v>
      </c>
      <c r="C95" s="190" t="str">
        <f>IFERROR(VLOOKUP(B95,REFERENSI!$C$6:$D$15,2,FALSE)," ")</f>
        <v>05</v>
      </c>
      <c r="D95" s="191">
        <v>14</v>
      </c>
      <c r="E95" s="189" t="s">
        <v>76</v>
      </c>
      <c r="F95" s="190" t="str">
        <f>IFERROR(VLOOKUP(E95,REFERENSI!$F$5:$G$6,2,FALSE)," ")</f>
        <v>01</v>
      </c>
      <c r="G95" s="189" t="s">
        <v>699</v>
      </c>
      <c r="H95" s="192" t="str">
        <f t="shared" si="9"/>
        <v xml:space="preserve">19800830  200907 05 01 14</v>
      </c>
      <c r="I95" s="189" t="s">
        <v>689</v>
      </c>
      <c r="J95" s="193">
        <v>30</v>
      </c>
      <c r="K95" s="193" t="s">
        <v>385</v>
      </c>
      <c r="L95" s="193">
        <v>1980</v>
      </c>
      <c r="M95" s="194" t="str">
        <f t="shared" si="10"/>
        <v>19800830</v>
      </c>
      <c r="N95" s="193">
        <v>13</v>
      </c>
      <c r="O95" s="193" t="s">
        <v>349</v>
      </c>
      <c r="P95" s="195">
        <v>2009</v>
      </c>
      <c r="Q95" s="193">
        <v>13</v>
      </c>
      <c r="R95" s="193" t="s">
        <v>349</v>
      </c>
      <c r="S95" s="195">
        <v>2009</v>
      </c>
      <c r="T95" s="188">
        <f t="shared" si="16"/>
        <v>16</v>
      </c>
      <c r="U95" s="188">
        <f t="shared" si="11"/>
        <v>16</v>
      </c>
      <c r="V95" s="188">
        <f t="shared" si="12"/>
        <v>16</v>
      </c>
      <c r="W95" s="188">
        <f t="shared" si="13"/>
        <v>16</v>
      </c>
      <c r="X95" s="195" t="s">
        <v>357</v>
      </c>
      <c r="Y95" s="196" t="s">
        <v>639</v>
      </c>
      <c r="Z95" s="197">
        <v>2009</v>
      </c>
      <c r="AA95" s="195" t="s">
        <v>352</v>
      </c>
      <c r="AB95" s="195"/>
      <c r="AC95" s="188" t="s">
        <v>640</v>
      </c>
      <c r="AD95" s="195"/>
      <c r="AE95" s="189" t="s">
        <v>700</v>
      </c>
      <c r="AF95" s="195">
        <v>12</v>
      </c>
      <c r="AG95" s="195" t="s">
        <v>326</v>
      </c>
      <c r="AH95" s="208" t="str">
        <f t="shared" si="14"/>
        <v>-</v>
      </c>
      <c r="AI95" s="198" t="str">
        <f t="shared" si="15"/>
        <v xml:space="preserve"> </v>
      </c>
      <c r="AJ95" s="195" t="s">
        <v>352</v>
      </c>
      <c r="AK95" s="195"/>
      <c r="AL95" s="199"/>
      <c r="AM95" s="199" t="s">
        <v>701</v>
      </c>
      <c r="AN95" s="201"/>
      <c r="AO95" s="142"/>
      <c r="BG95" s="204"/>
    </row>
    <row r="96" s="207" customFormat="1" ht="25" customHeight="1">
      <c r="A96" s="188">
        <v>108</v>
      </c>
      <c r="B96" s="189" t="s">
        <v>637</v>
      </c>
      <c r="C96" s="190" t="str">
        <f>IFERROR(VLOOKUP(B96,REFERENSI!$C$6:$D$15,2,FALSE)," ")</f>
        <v>05</v>
      </c>
      <c r="D96" s="191">
        <v>15</v>
      </c>
      <c r="E96" s="189" t="s">
        <v>76</v>
      </c>
      <c r="F96" s="190" t="str">
        <f>IFERROR(VLOOKUP(E96,REFERENSI!$F$5:$G$6,2,FALSE)," ")</f>
        <v>01</v>
      </c>
      <c r="G96" s="189" t="s">
        <v>702</v>
      </c>
      <c r="H96" s="192" t="str">
        <f t="shared" si="9"/>
        <v xml:space="preserve">19891202  201107 05 01 15</v>
      </c>
      <c r="I96" s="189" t="s">
        <v>689</v>
      </c>
      <c r="J96" s="193" t="s">
        <v>343</v>
      </c>
      <c r="K96" s="193">
        <v>12</v>
      </c>
      <c r="L96" s="193">
        <v>1989</v>
      </c>
      <c r="M96" s="194" t="str">
        <f t="shared" si="10"/>
        <v>19891202</v>
      </c>
      <c r="N96" s="193">
        <v>11</v>
      </c>
      <c r="O96" s="193" t="s">
        <v>349</v>
      </c>
      <c r="P96" s="195">
        <v>2011</v>
      </c>
      <c r="Q96" s="193">
        <v>11</v>
      </c>
      <c r="R96" s="193" t="s">
        <v>349</v>
      </c>
      <c r="S96" s="195">
        <v>2011</v>
      </c>
      <c r="T96" s="188">
        <f t="shared" si="16"/>
        <v>14</v>
      </c>
      <c r="U96" s="188">
        <f t="shared" si="11"/>
        <v>14</v>
      </c>
      <c r="V96" s="188">
        <f t="shared" si="12"/>
        <v>14</v>
      </c>
      <c r="W96" s="188">
        <f t="shared" si="13"/>
        <v>14</v>
      </c>
      <c r="X96" s="195" t="s">
        <v>357</v>
      </c>
      <c r="Y96" s="196" t="s">
        <v>703</v>
      </c>
      <c r="Z96" s="197"/>
      <c r="AA96" s="195" t="s">
        <v>352</v>
      </c>
      <c r="AB96" s="195"/>
      <c r="AC96" s="188" t="s">
        <v>640</v>
      </c>
      <c r="AD96" s="195"/>
      <c r="AE96" s="189" t="s">
        <v>704</v>
      </c>
      <c r="AF96" s="195">
        <v>6</v>
      </c>
      <c r="AG96" s="195" t="s">
        <v>326</v>
      </c>
      <c r="AH96" s="208" t="str">
        <f t="shared" si="14"/>
        <v>-</v>
      </c>
      <c r="AI96" s="198" t="str">
        <f t="shared" si="15"/>
        <v xml:space="preserve"> </v>
      </c>
      <c r="AJ96" s="195" t="s">
        <v>352</v>
      </c>
      <c r="AK96" s="195"/>
      <c r="AL96" s="199"/>
      <c r="AM96" s="199" t="s">
        <v>705</v>
      </c>
      <c r="AN96" s="201"/>
      <c r="AO96" s="142"/>
      <c r="BG96" s="204"/>
    </row>
    <row r="97" s="207" customFormat="1" ht="25" customHeight="1">
      <c r="A97" s="188">
        <v>109</v>
      </c>
      <c r="B97" s="189" t="s">
        <v>637</v>
      </c>
      <c r="C97" s="190" t="str">
        <f>IFERROR(VLOOKUP(B97,REFERENSI!$C$6:$D$15,2,FALSE)," ")</f>
        <v>05</v>
      </c>
      <c r="D97" s="191">
        <v>16</v>
      </c>
      <c r="E97" s="189" t="s">
        <v>76</v>
      </c>
      <c r="F97" s="190" t="str">
        <f>IFERROR(VLOOKUP(E97,REFERENSI!$F$5:$G$6,2,FALSE)," ")</f>
        <v>01</v>
      </c>
      <c r="G97" s="189" t="s">
        <v>706</v>
      </c>
      <c r="H97" s="192" t="str">
        <f t="shared" si="9"/>
        <v xml:space="preserve">19800101  200907 05 01 16</v>
      </c>
      <c r="I97" s="189" t="s">
        <v>707</v>
      </c>
      <c r="J97" s="193" t="s">
        <v>325</v>
      </c>
      <c r="K97" s="193" t="s">
        <v>325</v>
      </c>
      <c r="L97" s="193">
        <v>1980</v>
      </c>
      <c r="M97" s="194" t="str">
        <f t="shared" si="10"/>
        <v>19800101</v>
      </c>
      <c r="N97" s="193">
        <v>13</v>
      </c>
      <c r="O97" s="193" t="s">
        <v>349</v>
      </c>
      <c r="P97" s="195">
        <v>2009</v>
      </c>
      <c r="Q97" s="193">
        <v>13</v>
      </c>
      <c r="R97" s="193" t="s">
        <v>349</v>
      </c>
      <c r="S97" s="195">
        <v>2009</v>
      </c>
      <c r="T97" s="188">
        <f t="shared" si="16"/>
        <v>16</v>
      </c>
      <c r="U97" s="188">
        <f t="shared" si="11"/>
        <v>16</v>
      </c>
      <c r="V97" s="188">
        <f t="shared" si="12"/>
        <v>16</v>
      </c>
      <c r="W97" s="188">
        <f t="shared" si="13"/>
        <v>16</v>
      </c>
      <c r="X97" s="195" t="s">
        <v>357</v>
      </c>
      <c r="Y97" s="196" t="s">
        <v>708</v>
      </c>
      <c r="Z97" s="197">
        <v>2002</v>
      </c>
      <c r="AA97" s="195" t="s">
        <v>352</v>
      </c>
      <c r="AB97" s="195"/>
      <c r="AC97" s="188" t="s">
        <v>640</v>
      </c>
      <c r="AD97" s="195"/>
      <c r="AE97" s="189" t="s">
        <v>709</v>
      </c>
      <c r="AF97" s="195"/>
      <c r="AG97" s="195" t="s">
        <v>326</v>
      </c>
      <c r="AH97" s="208" t="str">
        <f t="shared" si="14"/>
        <v>-</v>
      </c>
      <c r="AI97" s="198" t="str">
        <f t="shared" si="15"/>
        <v xml:space="preserve"> </v>
      </c>
      <c r="AJ97" s="195" t="s">
        <v>352</v>
      </c>
      <c r="AK97" s="195"/>
      <c r="AL97" s="199"/>
      <c r="AM97" s="199" t="s">
        <v>710</v>
      </c>
      <c r="AN97" s="201"/>
      <c r="AO97" s="142"/>
      <c r="BG97" s="204"/>
    </row>
    <row r="98" s="207" customFormat="1" ht="25" customHeight="1">
      <c r="A98" s="188">
        <v>110</v>
      </c>
      <c r="B98" s="189" t="s">
        <v>637</v>
      </c>
      <c r="C98" s="190" t="str">
        <f>IFERROR(VLOOKUP(B98,REFERENSI!$C$6:$D$15,2,FALSE)," ")</f>
        <v>05</v>
      </c>
      <c r="D98" s="191">
        <v>17</v>
      </c>
      <c r="E98" s="189" t="s">
        <v>76</v>
      </c>
      <c r="F98" s="190" t="str">
        <f>IFERROR(VLOOKUP(E98,REFERENSI!$F$5:$G$6,2,FALSE)," ")</f>
        <v>01</v>
      </c>
      <c r="G98" s="189" t="s">
        <v>711</v>
      </c>
      <c r="H98" s="192" t="str">
        <f t="shared" si="9"/>
        <v xml:space="preserve">19820313  201007 05 01 17</v>
      </c>
      <c r="I98" s="189" t="s">
        <v>712</v>
      </c>
      <c r="J98" s="193">
        <v>13</v>
      </c>
      <c r="K98" s="193" t="s">
        <v>354</v>
      </c>
      <c r="L98" s="193">
        <v>1982</v>
      </c>
      <c r="M98" s="194" t="str">
        <f t="shared" si="10"/>
        <v>19820313</v>
      </c>
      <c r="N98" s="193" t="s">
        <v>404</v>
      </c>
      <c r="O98" s="193" t="s">
        <v>349</v>
      </c>
      <c r="P98" s="195">
        <v>2010</v>
      </c>
      <c r="Q98" s="193">
        <v>12</v>
      </c>
      <c r="R98" s="193" t="s">
        <v>349</v>
      </c>
      <c r="S98" s="195">
        <v>2011</v>
      </c>
      <c r="T98" s="188">
        <f t="shared" si="16"/>
        <v>14</v>
      </c>
      <c r="U98" s="188">
        <f t="shared" si="11"/>
        <v>15</v>
      </c>
      <c r="V98" s="188">
        <f t="shared" si="12"/>
        <v>15</v>
      </c>
      <c r="W98" s="188">
        <f t="shared" si="13"/>
        <v>14</v>
      </c>
      <c r="X98" s="195" t="s">
        <v>357</v>
      </c>
      <c r="Y98" s="196" t="s">
        <v>713</v>
      </c>
      <c r="Z98" s="197"/>
      <c r="AA98" s="195" t="s">
        <v>352</v>
      </c>
      <c r="AB98" s="195"/>
      <c r="AC98" s="188" t="s">
        <v>640</v>
      </c>
      <c r="AD98" s="195"/>
      <c r="AE98" s="189" t="s">
        <v>714</v>
      </c>
      <c r="AF98" s="195">
        <v>6</v>
      </c>
      <c r="AG98" s="195" t="s">
        <v>326</v>
      </c>
      <c r="AH98" s="208" t="str">
        <f t="shared" si="14"/>
        <v>-</v>
      </c>
      <c r="AI98" s="198" t="str">
        <f t="shared" si="15"/>
        <v xml:space="preserve"> </v>
      </c>
      <c r="AJ98" s="195" t="s">
        <v>352</v>
      </c>
      <c r="AK98" s="195"/>
      <c r="AL98" s="199"/>
      <c r="AM98" s="199" t="s">
        <v>715</v>
      </c>
      <c r="AN98" s="201"/>
      <c r="AO98" s="142"/>
      <c r="BG98" s="204"/>
    </row>
    <row r="99" s="207" customFormat="1" ht="25" customHeight="1">
      <c r="A99" s="188">
        <v>111</v>
      </c>
      <c r="B99" s="189" t="s">
        <v>637</v>
      </c>
      <c r="C99" s="190" t="str">
        <f>IFERROR(VLOOKUP(B99,REFERENSI!$C$6:$D$15,2,FALSE)," ")</f>
        <v>05</v>
      </c>
      <c r="D99" s="191">
        <v>18</v>
      </c>
      <c r="E99" s="189" t="s">
        <v>76</v>
      </c>
      <c r="F99" s="190" t="str">
        <f>IFERROR(VLOOKUP(E99,REFERENSI!$F$5:$G$6,2,FALSE)," ")</f>
        <v>01</v>
      </c>
      <c r="G99" s="189" t="s">
        <v>716</v>
      </c>
      <c r="H99" s="192" t="str">
        <f t="shared" ref="H99:H113" si="17">IFERROR((M99&amp;"  "&amp;P99&amp;O99&amp;" "&amp;C99&amp;" "&amp;F99&amp;" "&amp;D99)," ")</f>
        <v xml:space="preserve">19900825  201107 05 01 18</v>
      </c>
      <c r="I99" s="189" t="s">
        <v>689</v>
      </c>
      <c r="J99" s="193">
        <v>25</v>
      </c>
      <c r="K99" s="193" t="s">
        <v>385</v>
      </c>
      <c r="L99" s="193">
        <v>1990</v>
      </c>
      <c r="M99" s="194" t="str">
        <f t="shared" ref="M99:M110" si="18">L99&amp;K99&amp;J99</f>
        <v>19900825</v>
      </c>
      <c r="N99" s="193">
        <v>11</v>
      </c>
      <c r="O99" s="193" t="s">
        <v>349</v>
      </c>
      <c r="P99" s="195">
        <v>2011</v>
      </c>
      <c r="Q99" s="193">
        <v>11</v>
      </c>
      <c r="R99" s="193" t="s">
        <v>349</v>
      </c>
      <c r="S99" s="195">
        <v>2011</v>
      </c>
      <c r="T99" s="188">
        <f t="shared" si="16"/>
        <v>14</v>
      </c>
      <c r="U99" s="188">
        <f t="shared" ref="U99:U106" si="19">$E$4-P99</f>
        <v>14</v>
      </c>
      <c r="V99" s="188">
        <f t="shared" ref="V99" si="20">IF(U99=$E$4," ",U99)</f>
        <v>14</v>
      </c>
      <c r="W99" s="188">
        <f t="shared" ref="W99" si="21">IF(T99=$E$4," ",T99)</f>
        <v>14</v>
      </c>
      <c r="X99" s="195" t="s">
        <v>357</v>
      </c>
      <c r="Y99" s="196" t="s">
        <v>639</v>
      </c>
      <c r="Z99" s="197">
        <v>2014</v>
      </c>
      <c r="AA99" s="195" t="s">
        <v>352</v>
      </c>
      <c r="AB99" s="195"/>
      <c r="AC99" s="188" t="s">
        <v>640</v>
      </c>
      <c r="AD99" s="195"/>
      <c r="AE99" s="189" t="s">
        <v>717</v>
      </c>
      <c r="AF99" s="195">
        <v>4</v>
      </c>
      <c r="AG99" s="195" t="s">
        <v>326</v>
      </c>
      <c r="AH99" s="208" t="str">
        <f t="shared" ref="AH99:AH103" si="22">VLOOKUP(AG99,$BK$6:$BL$19,2,FALSE)</f>
        <v>-</v>
      </c>
      <c r="AI99" s="198" t="str">
        <f t="shared" ref="AI99:AI103" si="23">IFERROR((AF99+AH99)," ")</f>
        <v xml:space="preserve"> </v>
      </c>
      <c r="AJ99" s="195" t="s">
        <v>352</v>
      </c>
      <c r="AK99" s="195"/>
      <c r="AL99" s="199"/>
      <c r="AM99" s="199" t="s">
        <v>718</v>
      </c>
      <c r="AN99" s="201"/>
      <c r="AO99" s="142"/>
      <c r="BG99" s="204"/>
    </row>
    <row r="100" s="207" customFormat="1" ht="25" customHeight="1">
      <c r="A100" s="188">
        <v>112</v>
      </c>
      <c r="B100" s="189" t="s">
        <v>637</v>
      </c>
      <c r="C100" s="190" t="str">
        <f>IFERROR(VLOOKUP(B100,REFERENSI!$C$6:$D$15,2,FALSE)," ")</f>
        <v>05</v>
      </c>
      <c r="D100" s="191">
        <v>24</v>
      </c>
      <c r="E100" s="189" t="s">
        <v>76</v>
      </c>
      <c r="F100" s="190" t="str">
        <f>IFERROR(VLOOKUP(E100,REFERENSI!$F$5:$G$6,2,FALSE)," ")</f>
        <v>01</v>
      </c>
      <c r="G100" s="189" t="s">
        <v>719</v>
      </c>
      <c r="H100" s="192" t="str">
        <f>IFERROR((M100&amp;"  "&amp;P100&amp;O100&amp;" "&amp;C100&amp;" "&amp;F100&amp;" "&amp;D100)," ")</f>
        <v xml:space="preserve">19920524  201107 05 01 24</v>
      </c>
      <c r="I100" s="189" t="s">
        <v>689</v>
      </c>
      <c r="J100" s="193">
        <v>24</v>
      </c>
      <c r="K100" s="193" t="s">
        <v>368</v>
      </c>
      <c r="L100" s="193">
        <v>1992</v>
      </c>
      <c r="M100" s="194" t="str">
        <f t="shared" si="18"/>
        <v>19920524</v>
      </c>
      <c r="N100" s="193">
        <v>11</v>
      </c>
      <c r="O100" s="193" t="s">
        <v>349</v>
      </c>
      <c r="P100" s="195">
        <v>2011</v>
      </c>
      <c r="Q100" s="193">
        <v>11</v>
      </c>
      <c r="R100" s="193" t="s">
        <v>349</v>
      </c>
      <c r="S100" s="195">
        <v>2011</v>
      </c>
      <c r="T100" s="188">
        <f t="shared" si="16"/>
        <v>14</v>
      </c>
      <c r="U100" s="188">
        <f t="shared" si="19"/>
        <v>14</v>
      </c>
      <c r="V100" s="188">
        <f t="shared" ref="V100:V163" si="24">IF(U100=$E$4," ",U100)</f>
        <v>14</v>
      </c>
      <c r="W100" s="188">
        <f t="shared" ref="W100:W163" si="25">IF(T100=$E$4," ",T100)</f>
        <v>14</v>
      </c>
      <c r="X100" s="195" t="s">
        <v>357</v>
      </c>
      <c r="Y100" s="196" t="s">
        <v>720</v>
      </c>
      <c r="Z100" s="197">
        <v>2010</v>
      </c>
      <c r="AA100" s="195" t="s">
        <v>352</v>
      </c>
      <c r="AB100" s="195"/>
      <c r="AC100" s="188" t="s">
        <v>640</v>
      </c>
      <c r="AD100" s="195"/>
      <c r="AE100" s="189" t="s">
        <v>721</v>
      </c>
      <c r="AF100" s="195">
        <v>4</v>
      </c>
      <c r="AG100" s="195" t="s">
        <v>326</v>
      </c>
      <c r="AH100" s="208" t="str">
        <f t="shared" si="22"/>
        <v>-</v>
      </c>
      <c r="AI100" s="198" t="str">
        <f t="shared" si="23"/>
        <v xml:space="preserve"> </v>
      </c>
      <c r="AJ100" s="195" t="s">
        <v>352</v>
      </c>
      <c r="AK100" s="195"/>
      <c r="AL100" s="199"/>
      <c r="AM100" s="199" t="s">
        <v>722</v>
      </c>
      <c r="AN100" s="201"/>
      <c r="AO100" s="142"/>
      <c r="BG100" s="204"/>
    </row>
    <row r="101" s="207" customFormat="1" ht="25" customHeight="1">
      <c r="A101" s="188">
        <v>114</v>
      </c>
      <c r="B101" s="189" t="s">
        <v>637</v>
      </c>
      <c r="C101" s="190" t="str">
        <f>IFERROR(VLOOKUP(B101,REFERENSI!$C$6:$D$15,2,FALSE)," ")</f>
        <v>05</v>
      </c>
      <c r="D101" s="191">
        <v>20</v>
      </c>
      <c r="E101" s="189" t="s">
        <v>76</v>
      </c>
      <c r="F101" s="190" t="str">
        <f>IFERROR(VLOOKUP(E101,REFERENSI!$F$5:$G$6,2,FALSE)," ")</f>
        <v>01</v>
      </c>
      <c r="G101" s="189" t="s">
        <v>723</v>
      </c>
      <c r="H101" s="192" t="str">
        <f t="shared" si="17"/>
        <v xml:space="preserve">19940319  201207 05 01 20</v>
      </c>
      <c r="I101" s="189" t="s">
        <v>689</v>
      </c>
      <c r="J101" s="193">
        <v>19</v>
      </c>
      <c r="K101" s="193" t="s">
        <v>354</v>
      </c>
      <c r="L101" s="193">
        <v>1994</v>
      </c>
      <c r="M101" s="194" t="str">
        <f t="shared" si="18"/>
        <v>19940319</v>
      </c>
      <c r="N101" s="193" t="s">
        <v>349</v>
      </c>
      <c r="O101" s="193" t="s">
        <v>349</v>
      </c>
      <c r="P101" s="195">
        <v>2012</v>
      </c>
      <c r="Q101" s="193" t="s">
        <v>349</v>
      </c>
      <c r="R101" s="193" t="s">
        <v>349</v>
      </c>
      <c r="S101" s="195">
        <v>2012</v>
      </c>
      <c r="T101" s="188">
        <f t="shared" si="16"/>
        <v>13</v>
      </c>
      <c r="U101" s="188">
        <f t="shared" si="19"/>
        <v>13</v>
      </c>
      <c r="V101" s="188">
        <f t="shared" si="24"/>
        <v>13</v>
      </c>
      <c r="W101" s="188">
        <f t="shared" si="25"/>
        <v>13</v>
      </c>
      <c r="X101" s="195" t="s">
        <v>357</v>
      </c>
      <c r="Y101" s="196" t="s">
        <v>444</v>
      </c>
      <c r="Z101" s="197">
        <v>2016</v>
      </c>
      <c r="AA101" s="195" t="s">
        <v>352</v>
      </c>
      <c r="AB101" s="195"/>
      <c r="AC101" s="188" t="s">
        <v>640</v>
      </c>
      <c r="AD101" s="195"/>
      <c r="AE101" s="189" t="s">
        <v>717</v>
      </c>
      <c r="AF101" s="195">
        <v>4</v>
      </c>
      <c r="AG101" s="195" t="s">
        <v>326</v>
      </c>
      <c r="AH101" s="208" t="str">
        <f t="shared" si="22"/>
        <v>-</v>
      </c>
      <c r="AI101" s="198" t="str">
        <f t="shared" si="23"/>
        <v xml:space="preserve"> </v>
      </c>
      <c r="AJ101" s="195" t="s">
        <v>352</v>
      </c>
      <c r="AK101" s="195"/>
      <c r="AL101" s="199"/>
      <c r="AM101" s="199" t="s">
        <v>724</v>
      </c>
      <c r="AN101" s="201"/>
      <c r="AO101" s="142"/>
      <c r="BG101" s="204"/>
    </row>
    <row r="102" s="207" customFormat="1" ht="25" customHeight="1">
      <c r="A102" s="188">
        <v>115</v>
      </c>
      <c r="B102" s="189" t="s">
        <v>637</v>
      </c>
      <c r="C102" s="190" t="str">
        <f>IFERROR(VLOOKUP(B102,REFERENSI!$C$6:$D$15,2,FALSE)," ")</f>
        <v>05</v>
      </c>
      <c r="D102" s="191">
        <v>42</v>
      </c>
      <c r="E102" s="189" t="s">
        <v>76</v>
      </c>
      <c r="F102" s="190" t="str">
        <f>IFERROR(VLOOKUP(E102,REFERENSI!$F$5:$G$6,2,FALSE)," ")</f>
        <v>01</v>
      </c>
      <c r="G102" s="189" t="s">
        <v>725</v>
      </c>
      <c r="H102" s="192" t="str">
        <f t="shared" si="17"/>
        <v xml:space="preserve">19861014  201307 05 01 42</v>
      </c>
      <c r="I102" s="189" t="s">
        <v>689</v>
      </c>
      <c r="J102" s="193">
        <v>14</v>
      </c>
      <c r="K102" s="193">
        <v>10</v>
      </c>
      <c r="L102" s="193">
        <v>1986</v>
      </c>
      <c r="M102" s="194" t="str">
        <f t="shared" si="18"/>
        <v>19861014</v>
      </c>
      <c r="N102" s="193">
        <v>15</v>
      </c>
      <c r="O102" s="193" t="s">
        <v>349</v>
      </c>
      <c r="P102" s="195">
        <v>2013</v>
      </c>
      <c r="Q102" s="193">
        <v>15</v>
      </c>
      <c r="R102" s="193" t="s">
        <v>349</v>
      </c>
      <c r="S102" s="195">
        <v>2013</v>
      </c>
      <c r="T102" s="188">
        <f t="shared" si="16"/>
        <v>12</v>
      </c>
      <c r="U102" s="188">
        <f t="shared" si="19"/>
        <v>12</v>
      </c>
      <c r="V102" s="188">
        <f t="shared" si="24"/>
        <v>12</v>
      </c>
      <c r="W102" s="188">
        <f t="shared" si="25"/>
        <v>12</v>
      </c>
      <c r="X102" s="195" t="s">
        <v>357</v>
      </c>
      <c r="Y102" s="196" t="s">
        <v>726</v>
      </c>
      <c r="Z102" s="197">
        <v>2010</v>
      </c>
      <c r="AA102" s="195" t="s">
        <v>352</v>
      </c>
      <c r="AB102" s="195"/>
      <c r="AC102" s="188" t="s">
        <v>640</v>
      </c>
      <c r="AD102" s="195"/>
      <c r="AE102" s="189" t="s">
        <v>726</v>
      </c>
      <c r="AF102" s="195">
        <v>8</v>
      </c>
      <c r="AG102" s="195" t="s">
        <v>326</v>
      </c>
      <c r="AH102" s="208" t="str">
        <f t="shared" si="22"/>
        <v>-</v>
      </c>
      <c r="AI102" s="198" t="str">
        <f t="shared" si="23"/>
        <v xml:space="preserve"> </v>
      </c>
      <c r="AJ102" s="195" t="s">
        <v>352</v>
      </c>
      <c r="AK102" s="195"/>
      <c r="AL102" s="199"/>
      <c r="AM102" s="199" t="s">
        <v>727</v>
      </c>
      <c r="AN102" s="201"/>
      <c r="AO102" s="142"/>
      <c r="BG102" s="204"/>
    </row>
    <row r="103" s="207" customFormat="1" ht="25" customHeight="1">
      <c r="A103" s="188">
        <v>116</v>
      </c>
      <c r="B103" s="189" t="s">
        <v>637</v>
      </c>
      <c r="C103" s="190" t="str">
        <f>IFERROR(VLOOKUP(B103,REFERENSI!$C$6:$D$15,2,FALSE)," ")</f>
        <v>05</v>
      </c>
      <c r="D103" s="191">
        <v>22</v>
      </c>
      <c r="E103" s="189" t="s">
        <v>387</v>
      </c>
      <c r="F103" s="190" t="str">
        <f>IFERROR(VLOOKUP(E103,REFERENSI!$F$5:$G$6,2,FALSE)," ")</f>
        <v>02</v>
      </c>
      <c r="G103" s="189" t="s">
        <v>728</v>
      </c>
      <c r="H103" s="192" t="str">
        <f t="shared" si="17"/>
        <v xml:space="preserve">19990706  201707 05 02 22</v>
      </c>
      <c r="I103" s="189" t="s">
        <v>689</v>
      </c>
      <c r="J103" s="193" t="s">
        <v>373</v>
      </c>
      <c r="K103" s="193" t="s">
        <v>349</v>
      </c>
      <c r="L103" s="193">
        <v>1999</v>
      </c>
      <c r="M103" s="194" t="str">
        <f t="shared" si="18"/>
        <v>19990706</v>
      </c>
      <c r="N103" s="193" t="s">
        <v>432</v>
      </c>
      <c r="O103" s="193" t="s">
        <v>349</v>
      </c>
      <c r="P103" s="195">
        <v>2017</v>
      </c>
      <c r="Q103" s="193" t="s">
        <v>432</v>
      </c>
      <c r="R103" s="193" t="s">
        <v>349</v>
      </c>
      <c r="S103" s="195">
        <v>2017</v>
      </c>
      <c r="T103" s="188">
        <f t="shared" si="16"/>
        <v>8</v>
      </c>
      <c r="U103" s="188">
        <f t="shared" si="19"/>
        <v>8</v>
      </c>
      <c r="V103" s="188">
        <f t="shared" si="24"/>
        <v>8</v>
      </c>
      <c r="W103" s="188">
        <f t="shared" si="25"/>
        <v>8</v>
      </c>
      <c r="X103" s="195" t="s">
        <v>389</v>
      </c>
      <c r="Y103" s="196" t="s">
        <v>469</v>
      </c>
      <c r="Z103" s="197"/>
      <c r="AA103" s="195" t="s">
        <v>352</v>
      </c>
      <c r="AB103" s="195"/>
      <c r="AC103" s="188" t="s">
        <v>640</v>
      </c>
      <c r="AD103" s="195"/>
      <c r="AE103" s="189" t="s">
        <v>729</v>
      </c>
      <c r="AF103" s="195">
        <v>4</v>
      </c>
      <c r="AG103" s="195" t="s">
        <v>326</v>
      </c>
      <c r="AH103" s="208" t="str">
        <f t="shared" si="22"/>
        <v>-</v>
      </c>
      <c r="AI103" s="198" t="str">
        <f t="shared" si="23"/>
        <v xml:space="preserve"> </v>
      </c>
      <c r="AJ103" s="195" t="s">
        <v>352</v>
      </c>
      <c r="AK103" s="195"/>
      <c r="AL103" s="199"/>
      <c r="AM103" s="199" t="s">
        <v>730</v>
      </c>
      <c r="AN103" s="201"/>
      <c r="AO103" s="142"/>
      <c r="BG103" s="204"/>
    </row>
    <row r="104" s="207" customFormat="1" ht="25" customHeight="1">
      <c r="A104" s="188">
        <v>117</v>
      </c>
      <c r="B104" s="189" t="s">
        <v>550</v>
      </c>
      <c r="C104" s="190" t="str">
        <f>IFERROR(VLOOKUP(B104,REFERENSI!$C$6:$D$15,2,FALSE)," ")</f>
        <v>06</v>
      </c>
      <c r="D104" s="191"/>
      <c r="E104" s="189" t="s">
        <v>76</v>
      </c>
      <c r="F104" s="190" t="str">
        <f>IFERROR(VLOOKUP(E104,REFERENSI!$F$5:$G$6,2,FALSE)," ")</f>
        <v>01</v>
      </c>
      <c r="G104" s="189" t="s">
        <v>731</v>
      </c>
      <c r="H104" s="192" t="str">
        <f t="shared" si="17"/>
        <v xml:space="preserve">19850820  201207 06 01 </v>
      </c>
      <c r="I104" s="189" t="s">
        <v>347</v>
      </c>
      <c r="J104" s="193">
        <v>20</v>
      </c>
      <c r="K104" s="193" t="s">
        <v>385</v>
      </c>
      <c r="L104" s="193">
        <v>1985</v>
      </c>
      <c r="M104" s="194" t="str">
        <f t="shared" si="18"/>
        <v>19850820</v>
      </c>
      <c r="N104" s="193">
        <v>1</v>
      </c>
      <c r="O104" s="193" t="s">
        <v>349</v>
      </c>
      <c r="P104" s="195">
        <v>2012</v>
      </c>
      <c r="Q104" s="193" t="s">
        <v>325</v>
      </c>
      <c r="R104" s="193" t="s">
        <v>349</v>
      </c>
      <c r="S104" s="195">
        <v>2012</v>
      </c>
      <c r="T104" s="188">
        <f t="shared" si="16"/>
        <v>13</v>
      </c>
      <c r="U104" s="188">
        <f t="shared" si="19"/>
        <v>13</v>
      </c>
      <c r="V104" s="188">
        <f t="shared" si="24"/>
        <v>13</v>
      </c>
      <c r="W104" s="188">
        <f t="shared" si="25"/>
        <v>13</v>
      </c>
      <c r="X104" s="195" t="s">
        <v>357</v>
      </c>
      <c r="Y104" s="196" t="s">
        <v>523</v>
      </c>
      <c r="Z104" s="197"/>
      <c r="AA104" s="195"/>
      <c r="AB104" s="195"/>
      <c r="AC104" s="188"/>
      <c r="AD104" s="195"/>
      <c r="AE104" s="189"/>
      <c r="AF104" s="195"/>
      <c r="AG104" s="195"/>
      <c r="AH104" s="208"/>
      <c r="AI104" s="198"/>
      <c r="AJ104" s="195"/>
      <c r="AK104" s="195"/>
      <c r="AL104" s="199"/>
      <c r="AM104" s="199"/>
      <c r="AN104" s="201"/>
      <c r="AO104" s="142"/>
      <c r="BG104" s="204"/>
    </row>
    <row r="105" s="207" customFormat="1" ht="25" customHeight="1">
      <c r="A105" s="188">
        <v>118</v>
      </c>
      <c r="B105" s="189" t="s">
        <v>550</v>
      </c>
      <c r="C105" s="190" t="str">
        <f>IFERROR(VLOOKUP(B105,REFERENSI!$C$6:$D$15,2,FALSE)," ")</f>
        <v>06</v>
      </c>
      <c r="D105" s="191">
        <v>10</v>
      </c>
      <c r="E105" s="189" t="s">
        <v>76</v>
      </c>
      <c r="F105" s="190" t="str">
        <f>IFERROR(VLOOKUP(E105,REFERENSI!$F$5:$G$6,2,FALSE)," ")</f>
        <v>01</v>
      </c>
      <c r="G105" s="189" t="s">
        <v>732</v>
      </c>
      <c r="H105" s="192" t="str">
        <f t="shared" si="17"/>
        <v xml:space="preserve">19760614  201006 06 01 10</v>
      </c>
      <c r="I105" s="189" t="s">
        <v>347</v>
      </c>
      <c r="J105" s="193">
        <v>14</v>
      </c>
      <c r="K105" s="193" t="s">
        <v>373</v>
      </c>
      <c r="L105" s="193">
        <v>1976</v>
      </c>
      <c r="M105" s="194" t="str">
        <f t="shared" si="18"/>
        <v>19760614</v>
      </c>
      <c r="N105" s="193">
        <v>12</v>
      </c>
      <c r="O105" s="193" t="s">
        <v>373</v>
      </c>
      <c r="P105" s="195">
        <v>2010</v>
      </c>
      <c r="Q105" s="193">
        <v>12</v>
      </c>
      <c r="R105" s="193" t="s">
        <v>373</v>
      </c>
      <c r="S105" s="195">
        <v>2010</v>
      </c>
      <c r="T105" s="188">
        <f t="shared" si="16"/>
        <v>15</v>
      </c>
      <c r="U105" s="188">
        <f t="shared" si="19"/>
        <v>15</v>
      </c>
      <c r="V105" s="188">
        <f t="shared" si="24"/>
        <v>15</v>
      </c>
      <c r="W105" s="188">
        <f t="shared" si="25"/>
        <v>15</v>
      </c>
      <c r="X105" s="195" t="s">
        <v>357</v>
      </c>
      <c r="Y105" s="196" t="s">
        <v>444</v>
      </c>
      <c r="Z105" s="197"/>
      <c r="AA105" s="195"/>
      <c r="AB105" s="195"/>
      <c r="AC105" s="188"/>
      <c r="AD105" s="195"/>
      <c r="AE105" s="189"/>
      <c r="AF105" s="195"/>
      <c r="AG105" s="195"/>
      <c r="AH105" s="208"/>
      <c r="AI105" s="198"/>
      <c r="AJ105" s="195"/>
      <c r="AK105" s="195"/>
      <c r="AL105" s="199"/>
      <c r="AM105" s="199"/>
      <c r="AN105" s="201"/>
      <c r="AO105" s="142"/>
      <c r="BG105" s="204"/>
    </row>
    <row r="106" s="207" customFormat="1" ht="25" customHeight="1">
      <c r="A106" s="188">
        <v>119</v>
      </c>
      <c r="B106" s="189" t="s">
        <v>550</v>
      </c>
      <c r="C106" s="190" t="str">
        <f>IFERROR(VLOOKUP(B106,REFERENSI!$C$6:$D$15,2,FALSE)," ")</f>
        <v>06</v>
      </c>
      <c r="D106" s="191"/>
      <c r="E106" s="189" t="s">
        <v>76</v>
      </c>
      <c r="F106" s="190" t="str">
        <f>IFERROR(VLOOKUP(E106,REFERENSI!$F$5:$G$6,2,FALSE)," ")</f>
        <v>01</v>
      </c>
      <c r="G106" s="189" t="s">
        <v>733</v>
      </c>
      <c r="H106" s="192" t="str">
        <f t="shared" si="17"/>
        <v xml:space="preserve">19840615  201006 06 01 </v>
      </c>
      <c r="I106" s="189" t="s">
        <v>347</v>
      </c>
      <c r="J106" s="193">
        <v>15</v>
      </c>
      <c r="K106" s="193" t="s">
        <v>373</v>
      </c>
      <c r="L106" s="193">
        <v>1984</v>
      </c>
      <c r="M106" s="194" t="str">
        <f t="shared" si="18"/>
        <v>19840615</v>
      </c>
      <c r="N106" s="193">
        <v>12</v>
      </c>
      <c r="O106" s="193" t="s">
        <v>373</v>
      </c>
      <c r="P106" s="195">
        <v>2010</v>
      </c>
      <c r="Q106" s="193">
        <v>12</v>
      </c>
      <c r="R106" s="193" t="s">
        <v>373</v>
      </c>
      <c r="S106" s="195">
        <v>2010</v>
      </c>
      <c r="T106" s="188">
        <f t="shared" si="16"/>
        <v>15</v>
      </c>
      <c r="U106" s="188">
        <f t="shared" si="19"/>
        <v>15</v>
      </c>
      <c r="V106" s="188">
        <f t="shared" si="24"/>
        <v>15</v>
      </c>
      <c r="W106" s="188">
        <f t="shared" si="25"/>
        <v>15</v>
      </c>
      <c r="X106" s="195" t="s">
        <v>357</v>
      </c>
      <c r="Y106" s="196" t="s">
        <v>351</v>
      </c>
      <c r="Z106" s="197"/>
      <c r="AA106" s="195"/>
      <c r="AB106" s="195"/>
      <c r="AC106" s="188"/>
      <c r="AD106" s="195"/>
      <c r="AE106" s="189"/>
      <c r="AF106" s="195"/>
      <c r="AG106" s="195"/>
      <c r="AH106" s="208"/>
      <c r="AI106" s="198"/>
      <c r="AJ106" s="195"/>
      <c r="AK106" s="195"/>
      <c r="AL106" s="199"/>
      <c r="AM106" s="199"/>
      <c r="AN106" s="201"/>
      <c r="AO106" s="142"/>
      <c r="BG106" s="204"/>
    </row>
    <row r="107" s="207" customFormat="1" ht="25" customHeight="1">
      <c r="A107" s="188">
        <v>121</v>
      </c>
      <c r="B107" s="189" t="s">
        <v>550</v>
      </c>
      <c r="C107" s="190" t="str">
        <f>IFERROR(VLOOKUP(B107,REFERENSI!$C$6:$D$15,2,FALSE)," ")</f>
        <v>06</v>
      </c>
      <c r="D107" s="191">
        <v>41</v>
      </c>
      <c r="E107" s="189" t="s">
        <v>76</v>
      </c>
      <c r="F107" s="190" t="str">
        <f>IFERROR(VLOOKUP(E107,REFERENSI!$F$5:$G$6,2,FALSE)," ")</f>
        <v>01</v>
      </c>
      <c r="G107" s="189" t="s">
        <v>734</v>
      </c>
      <c r="H107" s="192" t="str">
        <f t="shared" si="17"/>
        <v xml:space="preserve">19671010  201407 06 01 41</v>
      </c>
      <c r="I107" s="189" t="s">
        <v>347</v>
      </c>
      <c r="J107" s="193" t="s">
        <v>400</v>
      </c>
      <c r="K107" s="193" t="s">
        <v>400</v>
      </c>
      <c r="L107" s="193">
        <v>1967</v>
      </c>
      <c r="M107" s="194" t="str">
        <f t="shared" si="18"/>
        <v>19671010</v>
      </c>
      <c r="N107" s="193" t="s">
        <v>427</v>
      </c>
      <c r="O107" s="193" t="s">
        <v>349</v>
      </c>
      <c r="P107" s="195">
        <v>2014</v>
      </c>
      <c r="Q107" s="193" t="s">
        <v>427</v>
      </c>
      <c r="R107" s="193" t="s">
        <v>349</v>
      </c>
      <c r="S107" s="195">
        <v>2014</v>
      </c>
      <c r="T107" s="188">
        <f t="shared" ref="T107:T170" si="26">$E$4-S107</f>
        <v>11</v>
      </c>
      <c r="U107" s="188">
        <f t="shared" ref="U107:U170" si="27">$E$4-P107</f>
        <v>11</v>
      </c>
      <c r="V107" s="188">
        <f t="shared" si="24"/>
        <v>11</v>
      </c>
      <c r="W107" s="188">
        <f t="shared" si="25"/>
        <v>11</v>
      </c>
      <c r="X107" s="195" t="s">
        <v>357</v>
      </c>
      <c r="Y107" s="196" t="s">
        <v>498</v>
      </c>
      <c r="Z107" s="197"/>
      <c r="AA107" s="195"/>
      <c r="AB107" s="195"/>
      <c r="AC107" s="188"/>
      <c r="AD107" s="195"/>
      <c r="AE107" s="189"/>
      <c r="AF107" s="195"/>
      <c r="AG107" s="195"/>
      <c r="AH107" s="208"/>
      <c r="AI107" s="198"/>
      <c r="AJ107" s="195"/>
      <c r="AK107" s="195"/>
      <c r="AL107" s="199"/>
      <c r="AM107" s="199"/>
      <c r="AN107" s="201"/>
      <c r="AO107" s="142"/>
      <c r="BG107" s="204"/>
    </row>
    <row r="108" s="207" customFormat="1" ht="25" customHeight="1">
      <c r="A108" s="188">
        <v>122</v>
      </c>
      <c r="B108" s="189" t="s">
        <v>550</v>
      </c>
      <c r="C108" s="190" t="str">
        <f>IFERROR(VLOOKUP(B108,REFERENSI!$C$6:$D$15,2,FALSE)," ")</f>
        <v>06</v>
      </c>
      <c r="D108" s="191">
        <v>54</v>
      </c>
      <c r="E108" s="189" t="s">
        <v>76</v>
      </c>
      <c r="F108" s="190" t="str">
        <f>IFERROR(VLOOKUP(E108,REFERENSI!$F$5:$G$6,2,FALSE)," ")</f>
        <v>01</v>
      </c>
      <c r="G108" s="189" t="s">
        <v>735</v>
      </c>
      <c r="H108" s="192" t="str">
        <f t="shared" si="17"/>
        <v xml:space="preserve">19910416  201507 06 01 54</v>
      </c>
      <c r="I108" s="189" t="s">
        <v>347</v>
      </c>
      <c r="J108" s="193" t="s">
        <v>427</v>
      </c>
      <c r="K108" s="193" t="s">
        <v>348</v>
      </c>
      <c r="L108" s="193">
        <v>1991</v>
      </c>
      <c r="M108" s="194" t="str">
        <f t="shared" si="18"/>
        <v>19910416</v>
      </c>
      <c r="N108" s="193" t="s">
        <v>434</v>
      </c>
      <c r="O108" s="193" t="s">
        <v>349</v>
      </c>
      <c r="P108" s="195">
        <v>2015</v>
      </c>
      <c r="Q108" s="193" t="s">
        <v>434</v>
      </c>
      <c r="R108" s="193" t="s">
        <v>349</v>
      </c>
      <c r="S108" s="195">
        <v>2015</v>
      </c>
      <c r="T108" s="188">
        <f t="shared" si="26"/>
        <v>10</v>
      </c>
      <c r="U108" s="188">
        <f t="shared" si="27"/>
        <v>10</v>
      </c>
      <c r="V108" s="188">
        <f t="shared" si="24"/>
        <v>10</v>
      </c>
      <c r="W108" s="188">
        <f t="shared" si="25"/>
        <v>10</v>
      </c>
      <c r="X108" s="195" t="s">
        <v>357</v>
      </c>
      <c r="Y108" s="196" t="s">
        <v>736</v>
      </c>
      <c r="Z108" s="197"/>
      <c r="AA108" s="195"/>
      <c r="AB108" s="195"/>
      <c r="AC108" s="188"/>
      <c r="AD108" s="195"/>
      <c r="AE108" s="189"/>
      <c r="AF108" s="195"/>
      <c r="AG108" s="195"/>
      <c r="AH108" s="208"/>
      <c r="AI108" s="198"/>
      <c r="AJ108" s="195"/>
      <c r="AK108" s="195"/>
      <c r="AL108" s="199"/>
      <c r="AM108" s="199"/>
      <c r="AN108" s="201"/>
      <c r="AO108" s="142"/>
      <c r="BG108" s="204"/>
    </row>
    <row r="109" s="207" customFormat="1" ht="25" customHeight="1">
      <c r="A109" s="188">
        <v>123</v>
      </c>
      <c r="B109" s="189" t="s">
        <v>550</v>
      </c>
      <c r="C109" s="190" t="str">
        <f>IFERROR(VLOOKUP(B109,REFERENSI!$C$6:$D$15,2,FALSE)," ")</f>
        <v>06</v>
      </c>
      <c r="D109" s="191"/>
      <c r="E109" s="189" t="s">
        <v>76</v>
      </c>
      <c r="F109" s="190" t="str">
        <f>IFERROR(VLOOKUP(E109,REFERENSI!$F$5:$G$6,2,FALSE)," ")</f>
        <v>01</v>
      </c>
      <c r="G109" s="189" t="s">
        <v>737</v>
      </c>
      <c r="H109" s="192" t="str">
        <f t="shared" si="17"/>
        <v xml:space="preserve">19760614  201006 06 01 </v>
      </c>
      <c r="I109" s="189" t="s">
        <v>347</v>
      </c>
      <c r="J109" s="193" t="s">
        <v>307</v>
      </c>
      <c r="K109" s="193" t="s">
        <v>373</v>
      </c>
      <c r="L109" s="193">
        <v>1976</v>
      </c>
      <c r="M109" s="194" t="str">
        <f t="shared" si="18"/>
        <v>19760614</v>
      </c>
      <c r="N109" s="193" t="s">
        <v>409</v>
      </c>
      <c r="O109" s="193" t="s">
        <v>373</v>
      </c>
      <c r="P109" s="195">
        <v>2010</v>
      </c>
      <c r="Q109" s="193" t="s">
        <v>409</v>
      </c>
      <c r="R109" s="193" t="s">
        <v>373</v>
      </c>
      <c r="S109" s="195">
        <v>2010</v>
      </c>
      <c r="T109" s="188">
        <f t="shared" si="26"/>
        <v>15</v>
      </c>
      <c r="U109" s="188">
        <f t="shared" si="27"/>
        <v>15</v>
      </c>
      <c r="V109" s="188">
        <f t="shared" si="24"/>
        <v>15</v>
      </c>
      <c r="W109" s="188">
        <f t="shared" si="25"/>
        <v>15</v>
      </c>
      <c r="X109" s="195" t="s">
        <v>357</v>
      </c>
      <c r="Y109" s="196" t="s">
        <v>444</v>
      </c>
      <c r="Z109" s="197"/>
      <c r="AA109" s="195"/>
      <c r="AB109" s="195"/>
      <c r="AC109" s="188"/>
      <c r="AD109" s="195"/>
      <c r="AE109" s="189"/>
      <c r="AF109" s="195"/>
      <c r="AG109" s="195"/>
      <c r="AH109" s="208"/>
      <c r="AI109" s="198"/>
      <c r="AJ109" s="195"/>
      <c r="AK109" s="195"/>
      <c r="AL109" s="199"/>
      <c r="AM109" s="199"/>
      <c r="AN109" s="201"/>
      <c r="AO109" s="142"/>
      <c r="BG109" s="204"/>
    </row>
    <row r="110" s="207" customFormat="1" ht="25" customHeight="1">
      <c r="A110" s="188">
        <v>124</v>
      </c>
      <c r="B110" s="189" t="s">
        <v>483</v>
      </c>
      <c r="C110" s="190" t="str">
        <f>IFERROR(VLOOKUP(B110,REFERENSI!$C$6:$D$15,2,FALSE)," ")</f>
        <v>07</v>
      </c>
      <c r="D110" s="191">
        <v>57</v>
      </c>
      <c r="E110" s="189" t="s">
        <v>76</v>
      </c>
      <c r="F110" s="190" t="str">
        <f>IFERROR(VLOOKUP(E110,REFERENSI!$F$5:$G$6,2,FALSE)," ")</f>
        <v>01</v>
      </c>
      <c r="G110" s="189" t="s">
        <v>738</v>
      </c>
      <c r="H110" s="192" t="str">
        <f t="shared" si="17"/>
        <v xml:space="preserve">19860719  201507 07 01 57</v>
      </c>
      <c r="I110" s="189" t="s">
        <v>347</v>
      </c>
      <c r="J110" s="193" t="s">
        <v>437</v>
      </c>
      <c r="K110" s="193" t="s">
        <v>349</v>
      </c>
      <c r="L110" s="193">
        <v>1986</v>
      </c>
      <c r="M110" s="194" t="str">
        <f t="shared" si="18"/>
        <v>19860719</v>
      </c>
      <c r="N110" s="193" t="s">
        <v>446</v>
      </c>
      <c r="O110" s="193" t="s">
        <v>349</v>
      </c>
      <c r="P110" s="195">
        <v>2015</v>
      </c>
      <c r="Q110" s="193" t="s">
        <v>446</v>
      </c>
      <c r="R110" s="193" t="s">
        <v>349</v>
      </c>
      <c r="S110" s="195">
        <v>2015</v>
      </c>
      <c r="T110" s="188">
        <f t="shared" si="26"/>
        <v>10</v>
      </c>
      <c r="U110" s="188">
        <f t="shared" si="27"/>
        <v>10</v>
      </c>
      <c r="V110" s="188">
        <f t="shared" si="24"/>
        <v>10</v>
      </c>
      <c r="W110" s="188">
        <f t="shared" si="25"/>
        <v>10</v>
      </c>
      <c r="X110" s="195" t="s">
        <v>357</v>
      </c>
      <c r="Y110" s="196" t="s">
        <v>739</v>
      </c>
      <c r="Z110" s="197"/>
      <c r="AA110" s="195"/>
      <c r="AB110" s="195"/>
      <c r="AC110" s="188"/>
      <c r="AD110" s="195"/>
      <c r="AE110" s="189"/>
      <c r="AF110" s="195"/>
      <c r="AG110" s="195"/>
      <c r="AH110" s="208"/>
      <c r="AI110" s="198"/>
      <c r="AJ110" s="195"/>
      <c r="AK110" s="195"/>
      <c r="AL110" s="199"/>
      <c r="AM110" s="199"/>
      <c r="AN110" s="201"/>
      <c r="AO110" s="142"/>
      <c r="BG110" s="204"/>
    </row>
    <row r="111" s="207" customFormat="1" ht="25" customHeight="1">
      <c r="A111" s="188">
        <v>125</v>
      </c>
      <c r="B111" s="189" t="s">
        <v>483</v>
      </c>
      <c r="C111" s="190" t="str">
        <f>IFERROR(VLOOKUP(B111,REFERENSI!$C$6:$D$15,2,FALSE)," ")</f>
        <v>07</v>
      </c>
      <c r="D111" s="191">
        <v>42</v>
      </c>
      <c r="E111" s="189" t="s">
        <v>76</v>
      </c>
      <c r="F111" s="190" t="str">
        <f>IFERROR(VLOOKUP(E111,REFERENSI!$F$5:$G$6,2,FALSE)," ")</f>
        <v>01</v>
      </c>
      <c r="G111" s="189" t="s">
        <v>740</v>
      </c>
      <c r="H111" s="192" t="str">
        <f t="shared" si="17"/>
        <v xml:space="preserve">19861026  201707 07 01 42</v>
      </c>
      <c r="I111" s="189" t="s">
        <v>347</v>
      </c>
      <c r="J111" s="193" t="s">
        <v>472</v>
      </c>
      <c r="K111" s="193" t="s">
        <v>400</v>
      </c>
      <c r="L111" s="193">
        <v>1986</v>
      </c>
      <c r="M111" s="194" t="str">
        <f t="shared" ref="M111:M174" si="28">L111&amp;K111&amp;J111</f>
        <v>19861026</v>
      </c>
      <c r="N111" s="193" t="s">
        <v>432</v>
      </c>
      <c r="O111" s="193" t="s">
        <v>349</v>
      </c>
      <c r="P111" s="195">
        <v>2017</v>
      </c>
      <c r="Q111" s="193" t="s">
        <v>432</v>
      </c>
      <c r="R111" s="193" t="s">
        <v>349</v>
      </c>
      <c r="S111" s="195">
        <v>2017</v>
      </c>
      <c r="T111" s="188">
        <f t="shared" si="26"/>
        <v>8</v>
      </c>
      <c r="U111" s="188">
        <f t="shared" si="27"/>
        <v>8</v>
      </c>
      <c r="V111" s="188">
        <f t="shared" si="24"/>
        <v>8</v>
      </c>
      <c r="W111" s="188">
        <f t="shared" si="25"/>
        <v>8</v>
      </c>
      <c r="X111" s="195" t="s">
        <v>357</v>
      </c>
      <c r="Y111" s="196" t="s">
        <v>741</v>
      </c>
      <c r="Z111" s="197"/>
      <c r="AA111" s="195"/>
      <c r="AB111" s="195"/>
      <c r="AC111" s="188"/>
      <c r="AD111" s="195"/>
      <c r="AE111" s="189"/>
      <c r="AF111" s="195"/>
      <c r="AG111" s="195"/>
      <c r="AH111" s="208"/>
      <c r="AI111" s="198"/>
      <c r="AJ111" s="195"/>
      <c r="AK111" s="195"/>
      <c r="AL111" s="199"/>
      <c r="AM111" s="199"/>
      <c r="AN111" s="201"/>
      <c r="AO111" s="142"/>
      <c r="BG111" s="204"/>
    </row>
    <row r="112" s="207" customFormat="1" ht="25" customHeight="1">
      <c r="A112" s="188">
        <v>126</v>
      </c>
      <c r="B112" s="189" t="s">
        <v>483</v>
      </c>
      <c r="C112" s="190" t="str">
        <f>IFERROR(VLOOKUP(B112,REFERENSI!$C$6:$D$15,2,FALSE)," ")</f>
        <v>07</v>
      </c>
      <c r="D112" s="191">
        <v>54</v>
      </c>
      <c r="E112" s="189" t="s">
        <v>76</v>
      </c>
      <c r="F112" s="190" t="str">
        <f>IFERROR(VLOOKUP(E112,REFERENSI!$F$5:$G$6,2,FALSE)," ")</f>
        <v>01</v>
      </c>
      <c r="G112" s="189" t="s">
        <v>742</v>
      </c>
      <c r="H112" s="192" t="str">
        <f t="shared" si="17"/>
        <v xml:space="preserve">19910718  201807 07 01 54</v>
      </c>
      <c r="I112" s="189" t="s">
        <v>347</v>
      </c>
      <c r="J112" s="193" t="s">
        <v>434</v>
      </c>
      <c r="K112" s="193" t="s">
        <v>349</v>
      </c>
      <c r="L112" s="193">
        <v>1991</v>
      </c>
      <c r="M112" s="194" t="str">
        <f t="shared" si="28"/>
        <v>19910718</v>
      </c>
      <c r="N112" s="193" t="s">
        <v>427</v>
      </c>
      <c r="O112" s="193" t="s">
        <v>349</v>
      </c>
      <c r="P112" s="195">
        <v>2018</v>
      </c>
      <c r="Q112" s="193" t="s">
        <v>427</v>
      </c>
      <c r="R112" s="193" t="s">
        <v>349</v>
      </c>
      <c r="S112" s="195">
        <v>2018</v>
      </c>
      <c r="T112" s="188">
        <f t="shared" si="26"/>
        <v>7</v>
      </c>
      <c r="U112" s="188">
        <f t="shared" si="27"/>
        <v>7</v>
      </c>
      <c r="V112" s="188">
        <f t="shared" si="24"/>
        <v>7</v>
      </c>
      <c r="W112" s="188">
        <f t="shared" si="25"/>
        <v>7</v>
      </c>
      <c r="X112" s="195" t="s">
        <v>357</v>
      </c>
      <c r="Y112" s="196" t="s">
        <v>490</v>
      </c>
      <c r="Z112" s="197"/>
      <c r="AA112" s="195"/>
      <c r="AB112" s="195"/>
      <c r="AC112" s="188"/>
      <c r="AD112" s="195"/>
      <c r="AE112" s="189"/>
      <c r="AF112" s="195"/>
      <c r="AG112" s="195"/>
      <c r="AH112" s="208"/>
      <c r="AI112" s="198"/>
      <c r="AJ112" s="195"/>
      <c r="AK112" s="195"/>
      <c r="AL112" s="199"/>
      <c r="AM112" s="199"/>
      <c r="AN112" s="201"/>
      <c r="AO112" s="142"/>
      <c r="BG112" s="204"/>
    </row>
    <row r="113" s="207" customFormat="1" ht="25" customHeight="1">
      <c r="A113" s="188">
        <v>127</v>
      </c>
      <c r="B113" s="189" t="s">
        <v>483</v>
      </c>
      <c r="C113" s="190" t="str">
        <f>IFERROR(VLOOKUP(B113,REFERENSI!$C$6:$D$15,2,FALSE)," ")</f>
        <v>07</v>
      </c>
      <c r="D113" s="191"/>
      <c r="E113" s="189" t="s">
        <v>76</v>
      </c>
      <c r="F113" s="190" t="str">
        <f>IFERROR(VLOOKUP(E113,REFERENSI!$F$5:$G$6,2,FALSE)," ")</f>
        <v>01</v>
      </c>
      <c r="G113" s="189" t="s">
        <v>743</v>
      </c>
      <c r="H113" s="192" t="str">
        <f t="shared" si="17"/>
        <v xml:space="preserve">19920323  201707 07 01 </v>
      </c>
      <c r="I113" s="189" t="s">
        <v>452</v>
      </c>
      <c r="J113" s="193" t="s">
        <v>457</v>
      </c>
      <c r="K113" s="193" t="s">
        <v>354</v>
      </c>
      <c r="L113" s="193">
        <v>1992</v>
      </c>
      <c r="M113" s="194" t="str">
        <f t="shared" si="28"/>
        <v>19920323</v>
      </c>
      <c r="N113" s="193" t="s">
        <v>432</v>
      </c>
      <c r="O113" s="193" t="s">
        <v>349</v>
      </c>
      <c r="P113" s="195">
        <v>2017</v>
      </c>
      <c r="Q113" s="193" t="s">
        <v>432</v>
      </c>
      <c r="R113" s="193" t="s">
        <v>349</v>
      </c>
      <c r="S113" s="195">
        <v>2017</v>
      </c>
      <c r="T113" s="188">
        <f t="shared" si="26"/>
        <v>8</v>
      </c>
      <c r="U113" s="188">
        <f t="shared" si="27"/>
        <v>8</v>
      </c>
      <c r="V113" s="188">
        <f t="shared" si="24"/>
        <v>8</v>
      </c>
      <c r="W113" s="188">
        <f t="shared" si="25"/>
        <v>8</v>
      </c>
      <c r="X113" s="195" t="s">
        <v>357</v>
      </c>
      <c r="Y113" s="196" t="s">
        <v>744</v>
      </c>
      <c r="Z113" s="197"/>
      <c r="AA113" s="195"/>
      <c r="AB113" s="195"/>
      <c r="AC113" s="188"/>
      <c r="AD113" s="195"/>
      <c r="AE113" s="189"/>
      <c r="AF113" s="195"/>
      <c r="AG113" s="195"/>
      <c r="AH113" s="208"/>
      <c r="AI113" s="198"/>
      <c r="AJ113" s="195"/>
      <c r="AK113" s="195"/>
      <c r="AL113" s="199"/>
      <c r="AM113" s="199"/>
      <c r="AN113" s="201"/>
      <c r="AO113" s="142"/>
      <c r="BG113" s="204"/>
    </row>
    <row r="114" s="207" customFormat="1" ht="25" customHeight="1">
      <c r="A114" s="188">
        <v>128</v>
      </c>
      <c r="B114" s="189" t="s">
        <v>483</v>
      </c>
      <c r="C114" s="190" t="str">
        <f>IFERROR(VLOOKUP(B114,REFERENSI!$C$6:$D$15,2,FALSE)," ")</f>
        <v>07</v>
      </c>
      <c r="D114" s="191">
        <v>17</v>
      </c>
      <c r="E114" s="189" t="s">
        <v>76</v>
      </c>
      <c r="F114" s="190" t="str">
        <f>IFERROR(VLOOKUP(E114,REFERENSI!$F$5:$G$6,2,FALSE)," ")</f>
        <v>01</v>
      </c>
      <c r="G114" s="189" t="s">
        <v>745</v>
      </c>
      <c r="H114" s="192" t="str">
        <f t="shared" ref="H114:H177" si="29">IFERROR((M114&amp;"  "&amp;P114&amp;O114&amp;" "&amp;C114&amp;" "&amp;F114&amp;" "&amp;D114)," ")</f>
        <v xml:space="preserve">20010517  202307 07 01 17</v>
      </c>
      <c r="I114" s="189" t="s">
        <v>347</v>
      </c>
      <c r="J114" s="193" t="s">
        <v>432</v>
      </c>
      <c r="K114" s="193" t="s">
        <v>368</v>
      </c>
      <c r="L114" s="193">
        <v>2001</v>
      </c>
      <c r="M114" s="194" t="str">
        <f t="shared" si="28"/>
        <v>20010517</v>
      </c>
      <c r="N114" s="193" t="s">
        <v>432</v>
      </c>
      <c r="O114" s="193" t="s">
        <v>349</v>
      </c>
      <c r="P114" s="147">
        <v>2023</v>
      </c>
      <c r="Q114" s="193" t="s">
        <v>432</v>
      </c>
      <c r="R114" s="193" t="s">
        <v>349</v>
      </c>
      <c r="S114" s="147">
        <v>2023</v>
      </c>
      <c r="T114" s="188">
        <f t="shared" si="26"/>
        <v>2</v>
      </c>
      <c r="U114" s="188">
        <f t="shared" si="27"/>
        <v>2</v>
      </c>
      <c r="V114" s="188">
        <f t="shared" si="24"/>
        <v>2</v>
      </c>
      <c r="W114" s="188">
        <f t="shared" si="25"/>
        <v>2</v>
      </c>
      <c r="X114" s="195" t="s">
        <v>357</v>
      </c>
      <c r="Y114" s="196" t="s">
        <v>508</v>
      </c>
      <c r="Z114" s="197"/>
      <c r="AA114" s="195"/>
      <c r="AB114" s="195"/>
      <c r="AC114" s="188"/>
      <c r="AD114" s="195"/>
      <c r="AE114" s="189"/>
      <c r="AF114" s="195"/>
      <c r="AG114" s="195"/>
      <c r="AH114" s="208"/>
      <c r="AI114" s="198"/>
      <c r="AJ114" s="195"/>
      <c r="AK114" s="195"/>
      <c r="AL114" s="199"/>
      <c r="AM114" s="199"/>
      <c r="AN114" s="201"/>
      <c r="AO114" s="142"/>
      <c r="BG114" s="204"/>
    </row>
    <row r="115" s="207" customFormat="1" ht="25" customHeight="1">
      <c r="A115" s="188">
        <v>129</v>
      </c>
      <c r="B115" s="189" t="s">
        <v>483</v>
      </c>
      <c r="C115" s="190" t="str">
        <f>IFERROR(VLOOKUP(B115,REFERENSI!$C$6:$D$15,2,FALSE)," ")</f>
        <v>07</v>
      </c>
      <c r="D115" s="191">
        <v>59</v>
      </c>
      <c r="E115" s="189" t="s">
        <v>76</v>
      </c>
      <c r="F115" s="190" t="str">
        <f>IFERROR(VLOOKUP(E115,REFERENSI!$F$5:$G$6,2,FALSE)," ")</f>
        <v>01</v>
      </c>
      <c r="G115" s="189" t="s">
        <v>746</v>
      </c>
      <c r="H115" s="192" t="str">
        <f t="shared" si="29"/>
        <v xml:space="preserve">19970321  201607 07 01 59</v>
      </c>
      <c r="I115" s="189" t="s">
        <v>347</v>
      </c>
      <c r="J115" s="193" t="s">
        <v>446</v>
      </c>
      <c r="K115" s="193" t="s">
        <v>354</v>
      </c>
      <c r="L115" s="193">
        <v>1997</v>
      </c>
      <c r="M115" s="194" t="str">
        <f t="shared" si="28"/>
        <v>19970321</v>
      </c>
      <c r="N115" s="193" t="s">
        <v>432</v>
      </c>
      <c r="O115" s="193" t="s">
        <v>349</v>
      </c>
      <c r="P115" s="195">
        <v>2016</v>
      </c>
      <c r="Q115" s="193" t="s">
        <v>432</v>
      </c>
      <c r="R115" s="193" t="s">
        <v>349</v>
      </c>
      <c r="S115" s="195">
        <v>2016</v>
      </c>
      <c r="T115" s="188">
        <f t="shared" si="26"/>
        <v>9</v>
      </c>
      <c r="U115" s="188">
        <f t="shared" si="27"/>
        <v>9</v>
      </c>
      <c r="V115" s="188">
        <f t="shared" si="24"/>
        <v>9</v>
      </c>
      <c r="W115" s="188">
        <f t="shared" si="25"/>
        <v>9</v>
      </c>
      <c r="X115" s="195" t="s">
        <v>357</v>
      </c>
      <c r="Y115" s="196" t="s">
        <v>444</v>
      </c>
      <c r="Z115" s="197"/>
      <c r="AA115" s="195"/>
      <c r="AB115" s="195"/>
      <c r="AC115" s="188"/>
      <c r="AD115" s="195"/>
      <c r="AE115" s="189"/>
      <c r="AF115" s="195"/>
      <c r="AG115" s="195"/>
      <c r="AH115" s="208"/>
      <c r="AI115" s="198"/>
      <c r="AJ115" s="195"/>
      <c r="AK115" s="195"/>
      <c r="AL115" s="199"/>
      <c r="AM115" s="199"/>
      <c r="AN115" s="201"/>
      <c r="AO115" s="142"/>
      <c r="BG115" s="204"/>
    </row>
    <row r="116" s="207" customFormat="1" ht="25" customHeight="1">
      <c r="A116" s="188">
        <v>130</v>
      </c>
      <c r="B116" s="189" t="s">
        <v>483</v>
      </c>
      <c r="C116" s="190" t="str">
        <f>IFERROR(VLOOKUP(B116,REFERENSI!$C$6:$D$15,2,FALSE)," ")</f>
        <v>07</v>
      </c>
      <c r="D116" s="191">
        <v>55</v>
      </c>
      <c r="E116" s="189" t="s">
        <v>76</v>
      </c>
      <c r="F116" s="190" t="str">
        <f>IFERROR(VLOOKUP(E116,REFERENSI!$F$5:$G$6,2,FALSE)," ")</f>
        <v>01</v>
      </c>
      <c r="G116" s="189" t="s">
        <v>747</v>
      </c>
      <c r="H116" s="192" t="str">
        <f t="shared" si="29"/>
        <v xml:space="preserve">19970505  201707 07 01 55</v>
      </c>
      <c r="I116" s="189" t="s">
        <v>347</v>
      </c>
      <c r="J116" s="193" t="s">
        <v>368</v>
      </c>
      <c r="K116" s="193" t="s">
        <v>368</v>
      </c>
      <c r="L116" s="193">
        <v>1997</v>
      </c>
      <c r="M116" s="194" t="str">
        <f t="shared" si="28"/>
        <v>19970505</v>
      </c>
      <c r="N116" s="193" t="s">
        <v>432</v>
      </c>
      <c r="O116" s="193" t="s">
        <v>349</v>
      </c>
      <c r="P116" s="195">
        <v>2017</v>
      </c>
      <c r="Q116" s="193" t="s">
        <v>432</v>
      </c>
      <c r="R116" s="193" t="s">
        <v>349</v>
      </c>
      <c r="S116" s="195">
        <v>2017</v>
      </c>
      <c r="T116" s="188">
        <f t="shared" si="26"/>
        <v>8</v>
      </c>
      <c r="U116" s="188">
        <f t="shared" si="27"/>
        <v>8</v>
      </c>
      <c r="V116" s="188">
        <f t="shared" si="24"/>
        <v>8</v>
      </c>
      <c r="W116" s="188">
        <f t="shared" si="25"/>
        <v>8</v>
      </c>
      <c r="X116" s="195" t="s">
        <v>357</v>
      </c>
      <c r="Y116" s="196" t="s">
        <v>444</v>
      </c>
      <c r="Z116" s="197"/>
      <c r="AA116" s="195"/>
      <c r="AB116" s="195"/>
      <c r="AC116" s="188"/>
      <c r="AD116" s="195"/>
      <c r="AE116" s="189"/>
      <c r="AF116" s="195"/>
      <c r="AG116" s="195"/>
      <c r="AH116" s="208"/>
      <c r="AI116" s="198"/>
      <c r="AJ116" s="195"/>
      <c r="AK116" s="195"/>
      <c r="AL116" s="199"/>
      <c r="AM116" s="199"/>
      <c r="AN116" s="201"/>
      <c r="AO116" s="142"/>
      <c r="BG116" s="204"/>
    </row>
    <row r="117" s="207" customFormat="1" ht="25" customHeight="1">
      <c r="A117" s="188">
        <v>131</v>
      </c>
      <c r="B117" s="189" t="s">
        <v>550</v>
      </c>
      <c r="C117" s="190" t="str">
        <f>IFERROR(VLOOKUP(B117,REFERENSI!$C$6:$D$15,2,FALSE)," ")</f>
        <v>06</v>
      </c>
      <c r="D117" s="191">
        <v>27</v>
      </c>
      <c r="E117" s="189" t="s">
        <v>76</v>
      </c>
      <c r="F117" s="190" t="str">
        <f>IFERROR(VLOOKUP(E117,REFERENSI!$F$5:$G$6,2,FALSE)," ")</f>
        <v>01</v>
      </c>
      <c r="G117" s="189" t="s">
        <v>748</v>
      </c>
      <c r="H117" s="192" t="str">
        <f t="shared" si="29"/>
        <v xml:space="preserve">19820313  201507 06 01 27</v>
      </c>
      <c r="I117" s="189" t="s">
        <v>347</v>
      </c>
      <c r="J117" s="193" t="s">
        <v>414</v>
      </c>
      <c r="K117" s="193" t="s">
        <v>354</v>
      </c>
      <c r="L117" s="193">
        <v>1982</v>
      </c>
      <c r="M117" s="194" t="str">
        <f t="shared" si="28"/>
        <v>19820313</v>
      </c>
      <c r="N117" s="193" t="s">
        <v>477</v>
      </c>
      <c r="O117" s="193" t="s">
        <v>349</v>
      </c>
      <c r="P117" s="195">
        <v>2015</v>
      </c>
      <c r="Q117" s="193" t="s">
        <v>477</v>
      </c>
      <c r="R117" s="193" t="s">
        <v>349</v>
      </c>
      <c r="S117" s="195">
        <v>2015</v>
      </c>
      <c r="T117" s="188">
        <f t="shared" si="26"/>
        <v>10</v>
      </c>
      <c r="U117" s="188">
        <f t="shared" si="27"/>
        <v>10</v>
      </c>
      <c r="V117" s="188">
        <f t="shared" si="24"/>
        <v>10</v>
      </c>
      <c r="W117" s="188">
        <f t="shared" si="25"/>
        <v>10</v>
      </c>
      <c r="X117" s="195" t="s">
        <v>357</v>
      </c>
      <c r="Y117" s="196" t="s">
        <v>444</v>
      </c>
      <c r="Z117" s="197"/>
      <c r="AA117" s="195"/>
      <c r="AB117" s="195"/>
      <c r="AC117" s="188"/>
      <c r="AD117" s="195"/>
      <c r="AE117" s="189"/>
      <c r="AF117" s="195"/>
      <c r="AG117" s="195"/>
      <c r="AH117" s="208"/>
      <c r="AI117" s="198"/>
      <c r="AJ117" s="195"/>
      <c r="AK117" s="195"/>
      <c r="AL117" s="199"/>
      <c r="AM117" s="199"/>
      <c r="AN117" s="201"/>
      <c r="AO117" s="142"/>
      <c r="BG117" s="204"/>
    </row>
    <row r="118" s="207" customFormat="1" ht="25" customHeight="1">
      <c r="A118" s="188">
        <v>132</v>
      </c>
      <c r="B118" s="189" t="s">
        <v>483</v>
      </c>
      <c r="C118" s="190" t="str">
        <f>IFERROR(VLOOKUP(B118,REFERENSI!$C$6:$D$15,2,FALSE)," ")</f>
        <v>07</v>
      </c>
      <c r="D118" s="191"/>
      <c r="E118" s="189" t="s">
        <v>76</v>
      </c>
      <c r="F118" s="190" t="str">
        <f>IFERROR(VLOOKUP(E118,REFERENSI!$F$5:$G$6,2,FALSE)," ")</f>
        <v>01</v>
      </c>
      <c r="G118" s="189" t="s">
        <v>749</v>
      </c>
      <c r="H118" s="192" t="str">
        <f t="shared" si="29"/>
        <v xml:space="preserve">19690323  199407 07 01 </v>
      </c>
      <c r="I118" s="189" t="s">
        <v>347</v>
      </c>
      <c r="J118" s="193" t="s">
        <v>457</v>
      </c>
      <c r="K118" s="193" t="s">
        <v>354</v>
      </c>
      <c r="L118" s="193">
        <v>1969</v>
      </c>
      <c r="M118" s="194" t="str">
        <f t="shared" si="28"/>
        <v>19690323</v>
      </c>
      <c r="N118" s="193" t="s">
        <v>434</v>
      </c>
      <c r="O118" s="193" t="s">
        <v>349</v>
      </c>
      <c r="P118" s="195">
        <v>1994</v>
      </c>
      <c r="Q118" s="193" t="s">
        <v>434</v>
      </c>
      <c r="R118" s="193" t="s">
        <v>349</v>
      </c>
      <c r="S118" s="195">
        <v>1994</v>
      </c>
      <c r="T118" s="188">
        <f t="shared" si="26"/>
        <v>31</v>
      </c>
      <c r="U118" s="188">
        <f t="shared" si="27"/>
        <v>31</v>
      </c>
      <c r="V118" s="188">
        <f t="shared" si="24"/>
        <v>31</v>
      </c>
      <c r="W118" s="188">
        <f t="shared" si="25"/>
        <v>31</v>
      </c>
      <c r="X118" s="195" t="s">
        <v>357</v>
      </c>
      <c r="Y118" s="196" t="s">
        <v>562</v>
      </c>
      <c r="Z118" s="197"/>
      <c r="AA118" s="195"/>
      <c r="AB118" s="195"/>
      <c r="AC118" s="188"/>
      <c r="AD118" s="195"/>
      <c r="AE118" s="189"/>
      <c r="AF118" s="195"/>
      <c r="AG118" s="195"/>
      <c r="AH118" s="208"/>
      <c r="AI118" s="198"/>
      <c r="AJ118" s="195"/>
      <c r="AK118" s="195"/>
      <c r="AL118" s="199"/>
      <c r="AM118" s="199"/>
      <c r="AN118" s="201"/>
      <c r="AO118" s="142"/>
      <c r="BG118" s="204"/>
    </row>
    <row r="119" s="207" customFormat="1" ht="25" customHeight="1">
      <c r="A119" s="188">
        <v>133</v>
      </c>
      <c r="B119" s="189" t="s">
        <v>550</v>
      </c>
      <c r="C119" s="190" t="str">
        <f>IFERROR(VLOOKUP(B119,REFERENSI!$C$6:$D$15,2,FALSE)," ")</f>
        <v>06</v>
      </c>
      <c r="D119" s="191"/>
      <c r="E119" s="189" t="s">
        <v>76</v>
      </c>
      <c r="F119" s="190" t="str">
        <f>IFERROR(VLOOKUP(E119,REFERENSI!$F$5:$G$6,2,FALSE)," ")</f>
        <v>01</v>
      </c>
      <c r="G119" s="189" t="s">
        <v>750</v>
      </c>
      <c r="H119" s="192" t="str">
        <f t="shared" si="29"/>
        <v xml:space="preserve">19930403  201701 06 01 </v>
      </c>
      <c r="I119" s="189" t="s">
        <v>347</v>
      </c>
      <c r="J119" s="193" t="s">
        <v>354</v>
      </c>
      <c r="K119" s="193" t="s">
        <v>348</v>
      </c>
      <c r="L119" s="193">
        <v>1993</v>
      </c>
      <c r="M119" s="194" t="str">
        <f t="shared" si="28"/>
        <v>19930403</v>
      </c>
      <c r="N119" s="193" t="s">
        <v>343</v>
      </c>
      <c r="O119" s="193" t="s">
        <v>325</v>
      </c>
      <c r="P119" s="195">
        <v>2017</v>
      </c>
      <c r="Q119" s="193" t="s">
        <v>343</v>
      </c>
      <c r="R119" s="193" t="s">
        <v>325</v>
      </c>
      <c r="S119" s="195">
        <v>2017</v>
      </c>
      <c r="T119" s="188"/>
      <c r="U119" s="188"/>
      <c r="V119" s="188">
        <f t="shared" si="24"/>
        <v>0</v>
      </c>
      <c r="W119" s="188">
        <f t="shared" si="25"/>
        <v>0</v>
      </c>
      <c r="X119" s="195" t="s">
        <v>357</v>
      </c>
      <c r="Y119" s="196" t="s">
        <v>562</v>
      </c>
      <c r="Z119" s="197"/>
      <c r="AA119" s="195"/>
      <c r="AB119" s="195"/>
      <c r="AC119" s="188"/>
      <c r="AD119" s="195"/>
      <c r="AE119" s="189"/>
      <c r="AF119" s="195"/>
      <c r="AG119" s="195"/>
      <c r="AH119" s="208"/>
      <c r="AI119" s="198"/>
      <c r="AJ119" s="195"/>
      <c r="AK119" s="195"/>
      <c r="AL119" s="199"/>
      <c r="AM119" s="199"/>
      <c r="AN119" s="201"/>
      <c r="AO119" s="142"/>
      <c r="BG119" s="204"/>
    </row>
    <row r="120" s="207" customFormat="1" ht="25" customHeight="1">
      <c r="A120" s="188">
        <v>134</v>
      </c>
      <c r="B120" s="189" t="s">
        <v>550</v>
      </c>
      <c r="C120" s="190" t="str">
        <f>IFERROR(VLOOKUP(B120,REFERENSI!$C$6:$D$15,2,FALSE)," ")</f>
        <v>06</v>
      </c>
      <c r="D120" s="191">
        <v>62</v>
      </c>
      <c r="E120" s="189" t="s">
        <v>76</v>
      </c>
      <c r="F120" s="190" t="str">
        <f>IFERROR(VLOOKUP(E120,REFERENSI!$F$5:$G$6,2,FALSE)," ")</f>
        <v>01</v>
      </c>
      <c r="G120" s="189" t="s">
        <v>751</v>
      </c>
      <c r="H120" s="192" t="str">
        <f t="shared" si="29"/>
        <v xml:space="preserve">19970725  201707 06 01 62</v>
      </c>
      <c r="I120" s="189" t="s">
        <v>347</v>
      </c>
      <c r="J120" s="193" t="s">
        <v>467</v>
      </c>
      <c r="K120" s="193" t="s">
        <v>349</v>
      </c>
      <c r="L120" s="193">
        <v>1997</v>
      </c>
      <c r="M120" s="194" t="str">
        <f t="shared" si="28"/>
        <v>19970725</v>
      </c>
      <c r="N120" s="193" t="s">
        <v>434</v>
      </c>
      <c r="O120" s="193" t="s">
        <v>349</v>
      </c>
      <c r="P120" s="195">
        <v>2017</v>
      </c>
      <c r="Q120" s="193" t="s">
        <v>434</v>
      </c>
      <c r="R120" s="193" t="s">
        <v>349</v>
      </c>
      <c r="S120" s="195">
        <v>2017</v>
      </c>
      <c r="T120" s="188">
        <f t="shared" si="26"/>
        <v>8</v>
      </c>
      <c r="U120" s="188">
        <f t="shared" si="27"/>
        <v>8</v>
      </c>
      <c r="V120" s="188">
        <f t="shared" si="24"/>
        <v>8</v>
      </c>
      <c r="W120" s="188">
        <f t="shared" si="25"/>
        <v>8</v>
      </c>
      <c r="X120" s="195" t="s">
        <v>357</v>
      </c>
      <c r="Y120" s="196" t="s">
        <v>713</v>
      </c>
      <c r="Z120" s="197"/>
      <c r="AA120" s="195"/>
      <c r="AB120" s="195"/>
      <c r="AC120" s="188"/>
      <c r="AD120" s="195"/>
      <c r="AE120" s="189"/>
      <c r="AF120" s="195"/>
      <c r="AG120" s="195"/>
      <c r="AH120" s="208"/>
      <c r="AI120" s="198"/>
      <c r="AJ120" s="195"/>
      <c r="AK120" s="195"/>
      <c r="AL120" s="199"/>
      <c r="AM120" s="199"/>
      <c r="AN120" s="201"/>
      <c r="AO120" s="142"/>
      <c r="BG120" s="204"/>
    </row>
    <row r="121" s="207" customFormat="1" ht="18.75" customHeight="1">
      <c r="A121" s="188">
        <v>135</v>
      </c>
      <c r="B121" s="189" t="s">
        <v>483</v>
      </c>
      <c r="C121" s="190" t="str">
        <f>IFERROR(VLOOKUP(B121,REFERENSI!$C$6:$D$15,2,FALSE)," ")</f>
        <v>07</v>
      </c>
      <c r="D121" s="191">
        <v>63</v>
      </c>
      <c r="E121" s="189" t="s">
        <v>76</v>
      </c>
      <c r="F121" s="190" t="str">
        <f>IFERROR(VLOOKUP(E121,REFERENSI!$F$5:$G$6,2,FALSE)," ")</f>
        <v>01</v>
      </c>
      <c r="G121" s="189" t="s">
        <v>752</v>
      </c>
      <c r="H121" s="192" t="str">
        <f t="shared" si="29"/>
        <v xml:space="preserve">19940627  201707 07 01 63</v>
      </c>
      <c r="I121" s="189" t="s">
        <v>347</v>
      </c>
      <c r="J121" s="193" t="s">
        <v>477</v>
      </c>
      <c r="K121" s="193" t="s">
        <v>373</v>
      </c>
      <c r="L121" s="193">
        <v>1994</v>
      </c>
      <c r="M121" s="194" t="str">
        <f t="shared" si="28"/>
        <v>19940627</v>
      </c>
      <c r="N121" s="193" t="s">
        <v>432</v>
      </c>
      <c r="O121" s="193" t="s">
        <v>349</v>
      </c>
      <c r="P121" s="195">
        <v>2017</v>
      </c>
      <c r="Q121" s="193" t="s">
        <v>432</v>
      </c>
      <c r="R121" s="193" t="s">
        <v>349</v>
      </c>
      <c r="S121" s="195">
        <v>2017</v>
      </c>
      <c r="T121" s="188">
        <f t="shared" si="26"/>
        <v>8</v>
      </c>
      <c r="U121" s="188">
        <f t="shared" si="27"/>
        <v>8</v>
      </c>
      <c r="V121" s="188">
        <f t="shared" si="24"/>
        <v>8</v>
      </c>
      <c r="W121" s="188">
        <f t="shared" si="25"/>
        <v>8</v>
      </c>
      <c r="X121" s="195" t="s">
        <v>357</v>
      </c>
      <c r="Y121" s="196" t="s">
        <v>490</v>
      </c>
      <c r="Z121" s="197"/>
      <c r="AA121" s="195"/>
      <c r="AB121" s="195"/>
      <c r="AC121" s="188"/>
      <c r="AD121" s="195"/>
      <c r="AE121" s="189"/>
      <c r="AF121" s="195"/>
      <c r="AG121" s="195"/>
      <c r="AH121" s="208"/>
      <c r="AI121" s="198"/>
      <c r="AJ121" s="195"/>
      <c r="AK121" s="195"/>
      <c r="AL121" s="199"/>
      <c r="AM121" s="199"/>
      <c r="AN121" s="201"/>
      <c r="AO121" s="142"/>
    </row>
    <row r="122" s="207" customFormat="1" ht="18.75" customHeight="1">
      <c r="A122" s="188">
        <v>136</v>
      </c>
      <c r="B122" s="189" t="s">
        <v>395</v>
      </c>
      <c r="C122" s="190" t="str">
        <f>IFERROR(VLOOKUP(B122,REFERENSI!$C$6:$D$15,2,FALSE)," ")</f>
        <v>03</v>
      </c>
      <c r="D122" s="191">
        <v>103</v>
      </c>
      <c r="E122" s="189" t="s">
        <v>76</v>
      </c>
      <c r="F122" s="190" t="str">
        <f>IFERROR(VLOOKUP(E122,REFERENSI!$F$5:$G$6,2,FALSE)," ")</f>
        <v>01</v>
      </c>
      <c r="G122" s="189" t="s">
        <v>753</v>
      </c>
      <c r="H122" s="192" t="str">
        <f t="shared" si="29"/>
        <v xml:space="preserve">19921001  201607 03 01 103</v>
      </c>
      <c r="I122" s="189" t="s">
        <v>635</v>
      </c>
      <c r="J122" s="193" t="s">
        <v>325</v>
      </c>
      <c r="K122" s="193" t="s">
        <v>400</v>
      </c>
      <c r="L122" s="193">
        <v>1992</v>
      </c>
      <c r="M122" s="194" t="str">
        <f t="shared" si="28"/>
        <v>19921001</v>
      </c>
      <c r="N122" s="193" t="s">
        <v>325</v>
      </c>
      <c r="O122" s="193" t="s">
        <v>349</v>
      </c>
      <c r="P122" s="195">
        <v>2016</v>
      </c>
      <c r="Q122" s="193" t="s">
        <v>325</v>
      </c>
      <c r="R122" s="193" t="s">
        <v>349</v>
      </c>
      <c r="S122" s="195">
        <v>2016</v>
      </c>
      <c r="T122" s="188">
        <f t="shared" si="26"/>
        <v>9</v>
      </c>
      <c r="U122" s="188">
        <f t="shared" si="27"/>
        <v>9</v>
      </c>
      <c r="V122" s="188">
        <f t="shared" si="24"/>
        <v>9</v>
      </c>
      <c r="W122" s="188">
        <f t="shared" si="25"/>
        <v>9</v>
      </c>
      <c r="X122" s="195" t="s">
        <v>357</v>
      </c>
      <c r="Y122" s="196" t="s">
        <v>754</v>
      </c>
      <c r="Z122" s="197"/>
      <c r="AA122" s="195"/>
      <c r="AB122" s="195"/>
      <c r="AC122" s="188"/>
      <c r="AD122" s="195"/>
      <c r="AE122" s="189"/>
      <c r="AF122" s="195"/>
      <c r="AG122" s="195"/>
      <c r="AH122" s="208"/>
      <c r="AI122" s="198"/>
      <c r="AJ122" s="195"/>
      <c r="AK122" s="195"/>
      <c r="AL122" s="199"/>
      <c r="AM122" s="199"/>
      <c r="AN122" s="201"/>
      <c r="AO122" s="142"/>
    </row>
    <row r="123" s="207" customFormat="1" ht="18.75" customHeight="1">
      <c r="A123" s="188">
        <v>137</v>
      </c>
      <c r="B123" s="189" t="s">
        <v>395</v>
      </c>
      <c r="C123" s="190" t="str">
        <f>IFERROR(VLOOKUP(B123,REFERENSI!$C$6:$D$15,2,FALSE)," ")</f>
        <v>03</v>
      </c>
      <c r="D123" s="191">
        <v>61</v>
      </c>
      <c r="E123" s="189" t="s">
        <v>76</v>
      </c>
      <c r="F123" s="190" t="str">
        <f>IFERROR(VLOOKUP(E123,REFERENSI!$F$5:$G$6,2,FALSE)," ")</f>
        <v>01</v>
      </c>
      <c r="G123" s="189" t="s">
        <v>755</v>
      </c>
      <c r="H123" s="192" t="str">
        <f t="shared" si="29"/>
        <v xml:space="preserve">19950722  201807 03 01 61</v>
      </c>
      <c r="I123" s="189" t="s">
        <v>347</v>
      </c>
      <c r="J123" s="195">
        <v>22</v>
      </c>
      <c r="K123" s="193" t="s">
        <v>349</v>
      </c>
      <c r="L123" s="193">
        <v>1995</v>
      </c>
      <c r="M123" s="194" t="str">
        <f t="shared" si="28"/>
        <v>19950722</v>
      </c>
      <c r="N123" s="193" t="s">
        <v>427</v>
      </c>
      <c r="O123" s="193" t="s">
        <v>349</v>
      </c>
      <c r="P123" s="195">
        <v>2018</v>
      </c>
      <c r="Q123" s="193" t="s">
        <v>427</v>
      </c>
      <c r="R123" s="193" t="s">
        <v>349</v>
      </c>
      <c r="S123" s="195">
        <v>2018</v>
      </c>
      <c r="T123" s="188">
        <f t="shared" si="26"/>
        <v>7</v>
      </c>
      <c r="U123" s="188">
        <f t="shared" si="27"/>
        <v>7</v>
      </c>
      <c r="V123" s="188">
        <f t="shared" si="24"/>
        <v>7</v>
      </c>
      <c r="W123" s="188">
        <f t="shared" si="25"/>
        <v>7</v>
      </c>
      <c r="X123" s="195" t="s">
        <v>357</v>
      </c>
      <c r="Y123" s="196" t="s">
        <v>756</v>
      </c>
      <c r="Z123" s="197"/>
      <c r="AA123" s="195"/>
      <c r="AB123" s="195"/>
      <c r="AC123" s="188"/>
      <c r="AD123" s="195"/>
      <c r="AE123" s="189"/>
      <c r="AF123" s="195"/>
      <c r="AG123" s="195"/>
      <c r="AH123" s="208"/>
      <c r="AI123" s="198"/>
      <c r="AJ123" s="195"/>
      <c r="AK123" s="195"/>
      <c r="AL123" s="199"/>
      <c r="AM123" s="199"/>
      <c r="AN123" s="201"/>
      <c r="AO123" s="142"/>
    </row>
    <row r="124" s="207" customFormat="1" ht="18.75" customHeight="1">
      <c r="A124" s="188">
        <v>138</v>
      </c>
      <c r="B124" s="189" t="s">
        <v>395</v>
      </c>
      <c r="C124" s="190" t="str">
        <f>IFERROR(VLOOKUP(B124,REFERENSI!$C$6:$D$15,2,FALSE)," ")</f>
        <v>03</v>
      </c>
      <c r="D124" s="191" t="s">
        <v>325</v>
      </c>
      <c r="E124" s="189" t="s">
        <v>76</v>
      </c>
      <c r="F124" s="190" t="str">
        <f>IFERROR(VLOOKUP(E124,REFERENSI!$F$5:$G$6,2,FALSE)," ")</f>
        <v>01</v>
      </c>
      <c r="G124" s="189" t="s">
        <v>757</v>
      </c>
      <c r="H124" s="192" t="str">
        <f t="shared" si="29"/>
        <v xml:space="preserve">19900413  201507 03 01 01</v>
      </c>
      <c r="I124" s="189" t="s">
        <v>758</v>
      </c>
      <c r="J124" s="193" t="s">
        <v>414</v>
      </c>
      <c r="K124" s="193" t="s">
        <v>348</v>
      </c>
      <c r="L124" s="193">
        <v>1990</v>
      </c>
      <c r="M124" s="194" t="str">
        <f t="shared" si="28"/>
        <v>19900413</v>
      </c>
      <c r="N124" s="193" t="s">
        <v>325</v>
      </c>
      <c r="O124" s="193" t="s">
        <v>349</v>
      </c>
      <c r="P124" s="195">
        <v>2015</v>
      </c>
      <c r="Q124" s="193" t="s">
        <v>325</v>
      </c>
      <c r="R124" s="193" t="s">
        <v>349</v>
      </c>
      <c r="S124" s="195">
        <v>2015</v>
      </c>
      <c r="T124" s="188">
        <f t="shared" si="26"/>
        <v>10</v>
      </c>
      <c r="U124" s="188">
        <f t="shared" si="27"/>
        <v>10</v>
      </c>
      <c r="V124" s="188">
        <f t="shared" si="24"/>
        <v>10</v>
      </c>
      <c r="W124" s="188">
        <f t="shared" si="25"/>
        <v>10</v>
      </c>
      <c r="X124" s="195" t="s">
        <v>357</v>
      </c>
      <c r="Y124" s="196" t="s">
        <v>546</v>
      </c>
      <c r="Z124" s="197"/>
      <c r="AA124" s="195"/>
      <c r="AB124" s="195"/>
      <c r="AC124" s="188"/>
      <c r="AD124" s="195"/>
      <c r="AE124" s="189"/>
      <c r="AF124" s="195"/>
      <c r="AG124" s="195"/>
      <c r="AH124" s="208"/>
      <c r="AI124" s="198"/>
      <c r="AJ124" s="195"/>
      <c r="AK124" s="195"/>
      <c r="AL124" s="199"/>
      <c r="AM124" s="199"/>
      <c r="AN124" s="201"/>
      <c r="AO124" s="142"/>
    </row>
    <row r="125" s="207" customFormat="1" ht="18.75" customHeight="1">
      <c r="A125" s="188">
        <v>139</v>
      </c>
      <c r="B125" s="189" t="s">
        <v>395</v>
      </c>
      <c r="C125" s="190" t="str">
        <f>IFERROR(VLOOKUP(B125,[2]REFERENSI!$C$6:$D$15,2,FALSE)," ")</f>
        <v xml:space="preserve"> </v>
      </c>
      <c r="D125" s="191">
        <v>63</v>
      </c>
      <c r="E125" s="189" t="s">
        <v>387</v>
      </c>
      <c r="F125" s="190" t="str">
        <f>IFERROR(VLOOKUP(E125,[2]REFERENSI!$F$5:$G$6,2,FALSE)," ")</f>
        <v xml:space="preserve"> </v>
      </c>
      <c r="G125" s="189" t="s">
        <v>759</v>
      </c>
      <c r="H125" s="192" t="str">
        <f t="shared" si="29"/>
        <v xml:space="preserve">19950507  201801     63</v>
      </c>
      <c r="I125" s="189" t="s">
        <v>347</v>
      </c>
      <c r="J125" s="193" t="s">
        <v>349</v>
      </c>
      <c r="K125" s="193" t="s">
        <v>368</v>
      </c>
      <c r="L125" s="193">
        <v>1995</v>
      </c>
      <c r="M125" s="194" t="str">
        <f t="shared" si="28"/>
        <v>19950507</v>
      </c>
      <c r="N125" s="193" t="s">
        <v>325</v>
      </c>
      <c r="O125" s="193" t="s">
        <v>325</v>
      </c>
      <c r="P125" s="195">
        <v>2018</v>
      </c>
      <c r="Q125" s="193" t="s">
        <v>325</v>
      </c>
      <c r="R125" s="193" t="s">
        <v>325</v>
      </c>
      <c r="S125" s="195">
        <v>2018</v>
      </c>
      <c r="T125" s="188">
        <f t="shared" si="26"/>
        <v>7</v>
      </c>
      <c r="U125" s="188">
        <f t="shared" si="27"/>
        <v>7</v>
      </c>
      <c r="V125" s="188">
        <f t="shared" si="24"/>
        <v>7</v>
      </c>
      <c r="W125" s="188">
        <f t="shared" si="25"/>
        <v>7</v>
      </c>
      <c r="X125" s="195" t="s">
        <v>357</v>
      </c>
      <c r="Y125" s="196" t="s">
        <v>371</v>
      </c>
      <c r="Z125" s="197"/>
      <c r="AA125" s="195"/>
      <c r="AB125" s="195"/>
      <c r="AC125" s="188"/>
      <c r="AD125" s="195"/>
      <c r="AE125" s="189"/>
      <c r="AF125" s="195"/>
      <c r="AG125" s="195"/>
      <c r="AH125" s="208"/>
      <c r="AI125" s="198"/>
      <c r="AJ125" s="195"/>
      <c r="AK125" s="195"/>
      <c r="AL125" s="199"/>
      <c r="AM125" s="199"/>
      <c r="AN125" s="201"/>
      <c r="AO125" s="142"/>
    </row>
    <row r="126" s="207" customFormat="1" ht="18.75" customHeight="1">
      <c r="A126" s="188">
        <v>140</v>
      </c>
      <c r="B126" s="189" t="s">
        <v>483</v>
      </c>
      <c r="C126" s="190" t="str">
        <f>IFERROR(VLOOKUP(B126,'[2]REFERENSI'!$C$6:$D$15,2,FALSE)," ")</f>
        <v xml:space="preserve"> </v>
      </c>
      <c r="D126" s="191">
        <v>65</v>
      </c>
      <c r="E126" s="189" t="s">
        <v>76</v>
      </c>
      <c r="F126" s="190" t="str">
        <f>IFERROR(VLOOKUP(E126,'[2]REFERENSI'!$F$5:$G$6,2,FALSE)," ")</f>
        <v xml:space="preserve"> </v>
      </c>
      <c r="G126" s="189" t="s">
        <v>760</v>
      </c>
      <c r="H126" s="192" t="str">
        <f t="shared" si="29"/>
        <v xml:space="preserve">19961110  201807     65</v>
      </c>
      <c r="I126" s="189" t="s">
        <v>347</v>
      </c>
      <c r="J126" s="193" t="s">
        <v>400</v>
      </c>
      <c r="K126" s="193" t="s">
        <v>404</v>
      </c>
      <c r="L126" s="193">
        <v>1996</v>
      </c>
      <c r="M126" s="194" t="str">
        <f t="shared" si="28"/>
        <v>19961110</v>
      </c>
      <c r="N126" s="193" t="s">
        <v>427</v>
      </c>
      <c r="O126" s="193" t="s">
        <v>349</v>
      </c>
      <c r="P126" s="195">
        <v>2018</v>
      </c>
      <c r="Q126" s="193" t="s">
        <v>427</v>
      </c>
      <c r="R126" s="193" t="s">
        <v>349</v>
      </c>
      <c r="S126" s="195">
        <v>2018</v>
      </c>
      <c r="T126" s="188">
        <f t="shared" si="26"/>
        <v>7</v>
      </c>
      <c r="U126" s="188">
        <f t="shared" si="27"/>
        <v>7</v>
      </c>
      <c r="V126" s="188">
        <f t="shared" si="24"/>
        <v>7</v>
      </c>
      <c r="W126" s="188">
        <f t="shared" si="25"/>
        <v>7</v>
      </c>
      <c r="X126" s="195" t="s">
        <v>357</v>
      </c>
      <c r="Y126" s="196" t="s">
        <v>761</v>
      </c>
      <c r="Z126" s="197"/>
      <c r="AA126" s="195"/>
      <c r="AB126" s="195"/>
      <c r="AC126" s="188"/>
      <c r="AD126" s="195"/>
      <c r="AE126" s="189"/>
      <c r="AF126" s="195"/>
      <c r="AG126" s="195"/>
      <c r="AH126" s="208"/>
      <c r="AI126" s="198"/>
      <c r="AJ126" s="195"/>
      <c r="AK126" s="195"/>
      <c r="AL126" s="199"/>
      <c r="AM126" s="199"/>
      <c r="AN126" s="201"/>
      <c r="AO126" s="142"/>
    </row>
    <row r="127" s="207" customFormat="1" ht="18.75" customHeight="1">
      <c r="A127" s="188">
        <v>141</v>
      </c>
      <c r="B127" s="189" t="s">
        <v>762</v>
      </c>
      <c r="C127" s="190" t="str">
        <f>IFERROR(VLOOKUP(B127,'[2]REFERENSI'!$C$6:$D$15,2,FALSE)," ")</f>
        <v xml:space="preserve"> </v>
      </c>
      <c r="D127" s="191" t="s">
        <v>349</v>
      </c>
      <c r="E127" s="189" t="s">
        <v>76</v>
      </c>
      <c r="F127" s="190" t="str">
        <f>IFERROR(VLOOKUP(E127,'[2]REFERENSI'!$F$5:$G$6,2,FALSE)," ")</f>
        <v xml:space="preserve"> </v>
      </c>
      <c r="G127" s="189" t="s">
        <v>763</v>
      </c>
      <c r="H127" s="192" t="str">
        <f t="shared" si="29"/>
        <v xml:space="preserve">19940416  202207     07</v>
      </c>
      <c r="I127" s="189" t="s">
        <v>764</v>
      </c>
      <c r="J127" s="193" t="s">
        <v>427</v>
      </c>
      <c r="K127" s="193" t="s">
        <v>348</v>
      </c>
      <c r="L127" s="193">
        <v>1994</v>
      </c>
      <c r="M127" s="194" t="str">
        <f t="shared" si="28"/>
        <v>19940416</v>
      </c>
      <c r="N127" s="193" t="s">
        <v>349</v>
      </c>
      <c r="O127" s="193" t="s">
        <v>349</v>
      </c>
      <c r="P127" s="195">
        <v>2022</v>
      </c>
      <c r="Q127" s="193" t="s">
        <v>349</v>
      </c>
      <c r="R127" s="193" t="s">
        <v>349</v>
      </c>
      <c r="S127" s="195">
        <v>2022</v>
      </c>
      <c r="T127" s="188">
        <f t="shared" si="26"/>
        <v>3</v>
      </c>
      <c r="U127" s="188">
        <f t="shared" si="27"/>
        <v>3</v>
      </c>
      <c r="V127" s="188">
        <f t="shared" si="24"/>
        <v>3</v>
      </c>
      <c r="W127" s="188">
        <f t="shared" si="25"/>
        <v>3</v>
      </c>
      <c r="X127" s="195" t="s">
        <v>357</v>
      </c>
      <c r="Y127" s="196" t="s">
        <v>765</v>
      </c>
      <c r="Z127" s="197"/>
      <c r="AA127" s="195"/>
      <c r="AB127" s="195"/>
      <c r="AC127" s="188"/>
      <c r="AD127" s="195"/>
      <c r="AE127" s="189"/>
      <c r="AF127" s="195"/>
      <c r="AG127" s="195"/>
      <c r="AH127" s="208"/>
      <c r="AI127" s="198"/>
      <c r="AJ127" s="195"/>
      <c r="AK127" s="195"/>
      <c r="AL127" s="199"/>
      <c r="AM127" s="199"/>
      <c r="AN127" s="201"/>
      <c r="AO127" s="142"/>
    </row>
    <row r="128" s="207" customFormat="1" ht="18.75" customHeight="1">
      <c r="A128" s="188">
        <v>142</v>
      </c>
      <c r="B128" s="189" t="s">
        <v>483</v>
      </c>
      <c r="C128" s="190" t="str">
        <f>IFERROR(VLOOKUP(B128,'[2]REFERENSI'!$C$6:$D$15,2,FALSE)," ")</f>
        <v xml:space="preserve"> </v>
      </c>
      <c r="D128" s="191"/>
      <c r="E128" s="189" t="s">
        <v>76</v>
      </c>
      <c r="F128" s="190" t="str">
        <f>IFERROR(VLOOKUP(E128,'[2]REFERENSI'!$F$5:$G$6,2,FALSE)," ")</f>
        <v xml:space="preserve"> </v>
      </c>
      <c r="G128" s="189" t="s">
        <v>766</v>
      </c>
      <c r="H128" s="192" t="str">
        <f t="shared" si="29"/>
        <v xml:space="preserve">19941023  201807     </v>
      </c>
      <c r="I128" s="189" t="s">
        <v>347</v>
      </c>
      <c r="J128" s="193" t="s">
        <v>457</v>
      </c>
      <c r="K128" s="193" t="s">
        <v>400</v>
      </c>
      <c r="L128" s="193">
        <v>1994</v>
      </c>
      <c r="M128" s="194" t="str">
        <f t="shared" si="28"/>
        <v>19941023</v>
      </c>
      <c r="N128" s="193" t="s">
        <v>427</v>
      </c>
      <c r="O128" s="193" t="s">
        <v>349</v>
      </c>
      <c r="P128" s="195">
        <v>2018</v>
      </c>
      <c r="Q128" s="193" t="s">
        <v>427</v>
      </c>
      <c r="R128" s="193" t="s">
        <v>349</v>
      </c>
      <c r="S128" s="195">
        <v>2018</v>
      </c>
      <c r="T128" s="188">
        <f t="shared" si="26"/>
        <v>7</v>
      </c>
      <c r="U128" s="188">
        <f t="shared" si="27"/>
        <v>7</v>
      </c>
      <c r="V128" s="188">
        <f t="shared" si="24"/>
        <v>7</v>
      </c>
      <c r="W128" s="188">
        <f t="shared" si="25"/>
        <v>7</v>
      </c>
      <c r="X128" s="195" t="s">
        <v>357</v>
      </c>
      <c r="Y128" s="196" t="s">
        <v>767</v>
      </c>
      <c r="Z128" s="197"/>
      <c r="AA128" s="195"/>
      <c r="AB128" s="195"/>
      <c r="AC128" s="188"/>
      <c r="AD128" s="195"/>
      <c r="AE128" s="189"/>
      <c r="AF128" s="195"/>
      <c r="AG128" s="195"/>
      <c r="AH128" s="208"/>
      <c r="AI128" s="198"/>
      <c r="AJ128" s="195"/>
      <c r="AK128" s="195"/>
      <c r="AL128" s="199"/>
      <c r="AM128" s="199"/>
      <c r="AN128" s="201"/>
      <c r="AO128" s="142"/>
    </row>
    <row r="129" s="207" customFormat="1" ht="18.75" customHeight="1">
      <c r="A129" s="188">
        <v>143</v>
      </c>
      <c r="B129" s="189" t="s">
        <v>483</v>
      </c>
      <c r="C129" s="190" t="str">
        <f>IFERROR(VLOOKUP(B129,'[2]REFERENSI'!$C$6:$D$15,2,FALSE)," ")</f>
        <v xml:space="preserve"> </v>
      </c>
      <c r="D129" s="191">
        <v>65</v>
      </c>
      <c r="E129" s="189" t="s">
        <v>76</v>
      </c>
      <c r="F129" s="190" t="str">
        <f>IFERROR(VLOOKUP(E129,'[2]REFERENSI'!$F$5:$G$6,2,FALSE)," ")</f>
        <v xml:space="preserve"> </v>
      </c>
      <c r="G129" s="189" t="s">
        <v>768</v>
      </c>
      <c r="H129" s="192" t="str">
        <f t="shared" si="29"/>
        <v xml:space="preserve">19950424  201807     65</v>
      </c>
      <c r="I129" s="189" t="s">
        <v>347</v>
      </c>
      <c r="J129" s="193" t="s">
        <v>462</v>
      </c>
      <c r="K129" s="193" t="s">
        <v>348</v>
      </c>
      <c r="L129" s="193">
        <v>1995</v>
      </c>
      <c r="M129" s="194" t="str">
        <f t="shared" si="28"/>
        <v>19950424</v>
      </c>
      <c r="N129" s="193" t="s">
        <v>427</v>
      </c>
      <c r="O129" s="193" t="s">
        <v>349</v>
      </c>
      <c r="P129" s="195">
        <v>2018</v>
      </c>
      <c r="Q129" s="193" t="s">
        <v>427</v>
      </c>
      <c r="R129" s="193" t="s">
        <v>349</v>
      </c>
      <c r="S129" s="195">
        <v>2018</v>
      </c>
      <c r="T129" s="188">
        <f t="shared" si="26"/>
        <v>7</v>
      </c>
      <c r="U129" s="188">
        <f t="shared" si="27"/>
        <v>7</v>
      </c>
      <c r="V129" s="188">
        <f t="shared" si="24"/>
        <v>7</v>
      </c>
      <c r="W129" s="188">
        <f t="shared" si="25"/>
        <v>7</v>
      </c>
      <c r="X129" s="195" t="s">
        <v>357</v>
      </c>
      <c r="Y129" s="196" t="s">
        <v>769</v>
      </c>
      <c r="Z129" s="197"/>
      <c r="AA129" s="195"/>
      <c r="AB129" s="195"/>
      <c r="AC129" s="188"/>
      <c r="AD129" s="195"/>
      <c r="AE129" s="189"/>
      <c r="AF129" s="195"/>
      <c r="AG129" s="195"/>
      <c r="AH129" s="208"/>
      <c r="AI129" s="198"/>
      <c r="AJ129" s="195"/>
      <c r="AK129" s="195"/>
      <c r="AL129" s="199"/>
      <c r="AM129" s="199"/>
      <c r="AN129" s="201"/>
      <c r="AO129" s="142"/>
    </row>
    <row r="130" s="207" customFormat="1" ht="18.75" customHeight="1">
      <c r="A130" s="188">
        <v>144</v>
      </c>
      <c r="B130" s="189" t="s">
        <v>483</v>
      </c>
      <c r="C130" s="190" t="str">
        <f>IFERROR(VLOOKUP(B130,'[2]REFERENSI'!$C$6:$D$15,2,FALSE)," ")</f>
        <v xml:space="preserve"> </v>
      </c>
      <c r="D130" s="191">
        <v>65</v>
      </c>
      <c r="E130" s="189" t="s">
        <v>76</v>
      </c>
      <c r="F130" s="190" t="str">
        <f>IFERROR(VLOOKUP(E130,'[2]REFERENSI'!$F$5:$G$6,2,FALSE)," ")</f>
        <v xml:space="preserve"> </v>
      </c>
      <c r="G130" s="189" t="s">
        <v>770</v>
      </c>
      <c r="H130" s="192" t="str">
        <f t="shared" si="29"/>
        <v xml:space="preserve">19960430  201807     65</v>
      </c>
      <c r="I130" s="189" t="s">
        <v>347</v>
      </c>
      <c r="J130" s="193" t="s">
        <v>494</v>
      </c>
      <c r="K130" s="193" t="s">
        <v>348</v>
      </c>
      <c r="L130" s="193">
        <v>1996</v>
      </c>
      <c r="M130" s="194" t="str">
        <f t="shared" si="28"/>
        <v>19960430</v>
      </c>
      <c r="N130" s="193" t="s">
        <v>427</v>
      </c>
      <c r="O130" s="193" t="s">
        <v>349</v>
      </c>
      <c r="P130" s="195">
        <v>2018</v>
      </c>
      <c r="Q130" s="193" t="s">
        <v>427</v>
      </c>
      <c r="R130" s="193" t="s">
        <v>349</v>
      </c>
      <c r="S130" s="195">
        <v>2018</v>
      </c>
      <c r="T130" s="188">
        <f t="shared" si="26"/>
        <v>7</v>
      </c>
      <c r="U130" s="188">
        <f t="shared" si="27"/>
        <v>7</v>
      </c>
      <c r="V130" s="188">
        <f t="shared" si="24"/>
        <v>7</v>
      </c>
      <c r="W130" s="188">
        <f t="shared" si="25"/>
        <v>7</v>
      </c>
      <c r="X130" s="195" t="s">
        <v>357</v>
      </c>
      <c r="Y130" s="196" t="s">
        <v>771</v>
      </c>
      <c r="Z130" s="197"/>
      <c r="AA130" s="195"/>
      <c r="AB130" s="195"/>
      <c r="AC130" s="188"/>
      <c r="AD130" s="195"/>
      <c r="AE130" s="189"/>
      <c r="AF130" s="195"/>
      <c r="AG130" s="195"/>
      <c r="AH130" s="208"/>
      <c r="AI130" s="198"/>
      <c r="AJ130" s="195"/>
      <c r="AK130" s="195"/>
      <c r="AL130" s="199"/>
      <c r="AM130" s="199"/>
      <c r="AN130" s="201"/>
      <c r="AO130" s="142"/>
    </row>
    <row r="131" s="207" customFormat="1" ht="18.75" customHeight="1">
      <c r="A131" s="188">
        <v>145</v>
      </c>
      <c r="B131" s="189" t="s">
        <v>483</v>
      </c>
      <c r="C131" s="190" t="str">
        <f>IFERROR(VLOOKUP(B131,REFERENSI!$C$6:$D$15,2,FALSE)," ")</f>
        <v>07</v>
      </c>
      <c r="D131" s="191" t="s">
        <v>343</v>
      </c>
      <c r="E131" s="189" t="s">
        <v>76</v>
      </c>
      <c r="F131" s="190" t="str">
        <f>IFERROR(VLOOKUP(E131,REFERENSI!$F$5:$G$6,2,FALSE)," ")</f>
        <v>01</v>
      </c>
      <c r="G131" s="189" t="s">
        <v>772</v>
      </c>
      <c r="H131" s="192" t="str">
        <f t="shared" si="29"/>
        <v xml:space="preserve">19980709  202407 07 01 02</v>
      </c>
      <c r="I131" s="189" t="s">
        <v>347</v>
      </c>
      <c r="J131" s="193" t="s">
        <v>393</v>
      </c>
      <c r="K131" s="193" t="s">
        <v>349</v>
      </c>
      <c r="L131" s="193">
        <v>1998</v>
      </c>
      <c r="M131" s="194" t="str">
        <f t="shared" si="28"/>
        <v>19980709</v>
      </c>
      <c r="N131" s="193" t="s">
        <v>423</v>
      </c>
      <c r="O131" s="193" t="s">
        <v>349</v>
      </c>
      <c r="P131" s="195">
        <v>2024</v>
      </c>
      <c r="Q131" s="193" t="s">
        <v>423</v>
      </c>
      <c r="R131" s="193" t="s">
        <v>349</v>
      </c>
      <c r="S131" s="195">
        <v>2024</v>
      </c>
      <c r="T131" s="188">
        <f t="shared" si="26"/>
        <v>1</v>
      </c>
      <c r="U131" s="188">
        <f t="shared" si="27"/>
        <v>1</v>
      </c>
      <c r="V131" s="188">
        <f t="shared" si="24"/>
        <v>1</v>
      </c>
      <c r="W131" s="188">
        <f t="shared" si="25"/>
        <v>1</v>
      </c>
      <c r="X131" s="195" t="s">
        <v>357</v>
      </c>
      <c r="Y131" s="196" t="s">
        <v>773</v>
      </c>
      <c r="Z131" s="197"/>
      <c r="AA131" s="195"/>
      <c r="AB131" s="195"/>
      <c r="AC131" s="188"/>
      <c r="AD131" s="195"/>
      <c r="AE131" s="189"/>
      <c r="AF131" s="195"/>
      <c r="AG131" s="195"/>
      <c r="AH131" s="208"/>
      <c r="AI131" s="198"/>
      <c r="AJ131" s="195"/>
      <c r="AK131" s="195"/>
      <c r="AL131" s="199"/>
      <c r="AM131" s="199"/>
      <c r="AN131" s="201"/>
      <c r="AO131" s="142"/>
    </row>
    <row r="132" s="207" customFormat="1" ht="18.75" customHeight="1">
      <c r="A132" s="188">
        <v>146</v>
      </c>
      <c r="B132" s="189" t="s">
        <v>483</v>
      </c>
      <c r="C132" s="190" t="str">
        <f>IFERROR(VLOOKUP(B132,REFERENSI!$C$6:$D$15,2,FALSE)," ")</f>
        <v>07</v>
      </c>
      <c r="D132" s="191">
        <v>62</v>
      </c>
      <c r="E132" s="189" t="s">
        <v>76</v>
      </c>
      <c r="F132" s="190" t="str">
        <f>IFERROR(VLOOKUP(E132,REFERENSI!$F$5:$G$6,2,FALSE)," ")</f>
        <v>01</v>
      </c>
      <c r="G132" s="189" t="s">
        <v>774</v>
      </c>
      <c r="H132" s="192" t="str">
        <f t="shared" si="29"/>
        <v xml:space="preserve">19980626  201907 07 01 62</v>
      </c>
      <c r="I132" s="189" t="s">
        <v>347</v>
      </c>
      <c r="J132" s="193" t="s">
        <v>472</v>
      </c>
      <c r="K132" s="193" t="s">
        <v>373</v>
      </c>
      <c r="L132" s="193">
        <v>1998</v>
      </c>
      <c r="M132" s="194" t="str">
        <f t="shared" si="28"/>
        <v>19980626</v>
      </c>
      <c r="N132" s="193" t="s">
        <v>427</v>
      </c>
      <c r="O132" s="193" t="s">
        <v>349</v>
      </c>
      <c r="P132" s="195">
        <v>2019</v>
      </c>
      <c r="Q132" s="193" t="s">
        <v>427</v>
      </c>
      <c r="R132" s="193" t="s">
        <v>349</v>
      </c>
      <c r="S132" s="195">
        <v>2019</v>
      </c>
      <c r="T132" s="188">
        <f t="shared" si="26"/>
        <v>6</v>
      </c>
      <c r="U132" s="188">
        <f t="shared" si="27"/>
        <v>6</v>
      </c>
      <c r="V132" s="188">
        <f t="shared" si="24"/>
        <v>6</v>
      </c>
      <c r="W132" s="188">
        <f t="shared" si="25"/>
        <v>6</v>
      </c>
      <c r="X132" s="195" t="s">
        <v>357</v>
      </c>
      <c r="Y132" s="196" t="s">
        <v>775</v>
      </c>
      <c r="Z132" s="197"/>
      <c r="AA132" s="195"/>
      <c r="AB132" s="195"/>
      <c r="AC132" s="188"/>
      <c r="AD132" s="195"/>
      <c r="AE132" s="189"/>
      <c r="AF132" s="195"/>
      <c r="AG132" s="195"/>
      <c r="AH132" s="208"/>
      <c r="AI132" s="198"/>
      <c r="AJ132" s="195"/>
      <c r="AK132" s="195"/>
      <c r="AL132" s="199"/>
      <c r="AM132" s="199"/>
      <c r="AN132" s="201"/>
      <c r="AO132" s="142"/>
    </row>
    <row r="133" s="207" customFormat="1" ht="18.75" customHeight="1">
      <c r="A133" s="188">
        <v>147</v>
      </c>
      <c r="B133" s="189" t="s">
        <v>416</v>
      </c>
      <c r="C133" s="190" t="str">
        <f>IFERROR(VLOOKUP(B133,REFERENSI!$C$6:$D$15,2,FALSE)," ")</f>
        <v>04</v>
      </c>
      <c r="D133" s="191" t="s">
        <v>325</v>
      </c>
      <c r="E133" s="189" t="s">
        <v>76</v>
      </c>
      <c r="F133" s="190" t="str">
        <f>IFERROR(VLOOKUP(E133,REFERENSI!$F$5:$G$6,2,FALSE)," ")</f>
        <v>01</v>
      </c>
      <c r="G133" s="189" t="s">
        <v>776</v>
      </c>
      <c r="H133" s="192" t="str">
        <f t="shared" si="29"/>
        <v xml:space="preserve">19920730  201907 04 01 01</v>
      </c>
      <c r="I133" s="189" t="s">
        <v>347</v>
      </c>
      <c r="J133" s="193" t="s">
        <v>494</v>
      </c>
      <c r="K133" s="193" t="s">
        <v>349</v>
      </c>
      <c r="L133" s="193">
        <v>1992</v>
      </c>
      <c r="M133" s="194" t="str">
        <f t="shared" si="28"/>
        <v>19920730</v>
      </c>
      <c r="N133" s="193" t="s">
        <v>423</v>
      </c>
      <c r="O133" s="193" t="s">
        <v>349</v>
      </c>
      <c r="P133" s="195">
        <v>2019</v>
      </c>
      <c r="Q133" s="193" t="s">
        <v>423</v>
      </c>
      <c r="R133" s="193" t="s">
        <v>349</v>
      </c>
      <c r="S133" s="195">
        <v>2019</v>
      </c>
      <c r="T133" s="188">
        <f t="shared" si="26"/>
        <v>6</v>
      </c>
      <c r="U133" s="188">
        <f t="shared" si="27"/>
        <v>6</v>
      </c>
      <c r="V133" s="188">
        <f t="shared" si="24"/>
        <v>6</v>
      </c>
      <c r="W133" s="188">
        <f t="shared" si="25"/>
        <v>6</v>
      </c>
      <c r="X133" s="195" t="s">
        <v>357</v>
      </c>
      <c r="Y133" s="196" t="s">
        <v>490</v>
      </c>
      <c r="Z133" s="197"/>
      <c r="AA133" s="195"/>
      <c r="AB133" s="195"/>
      <c r="AC133" s="188"/>
      <c r="AD133" s="195"/>
      <c r="AE133" s="189"/>
      <c r="AF133" s="195"/>
      <c r="AG133" s="195"/>
      <c r="AH133" s="208"/>
      <c r="AI133" s="198"/>
      <c r="AJ133" s="195"/>
      <c r="AK133" s="195"/>
      <c r="AL133" s="199"/>
      <c r="AM133" s="199"/>
      <c r="AN133" s="201"/>
      <c r="AO133" s="142"/>
    </row>
    <row r="134" s="207" customFormat="1" ht="18.75" customHeight="1">
      <c r="A134" s="188">
        <v>148</v>
      </c>
      <c r="B134" s="189" t="s">
        <v>416</v>
      </c>
      <c r="C134" s="190" t="str">
        <f>IFERROR(VLOOKUP(B134,REFERENSI!$C$6:$D$15,2,FALSE)," ")</f>
        <v>04</v>
      </c>
      <c r="D134" s="191" t="s">
        <v>325</v>
      </c>
      <c r="E134" s="189" t="s">
        <v>76</v>
      </c>
      <c r="F134" s="190" t="str">
        <f>IFERROR(VLOOKUP(E134,REFERENSI!$F$5:$G$6,2,FALSE)," ")</f>
        <v>01</v>
      </c>
      <c r="G134" s="189" t="s">
        <v>777</v>
      </c>
      <c r="H134" s="192" t="str">
        <f t="shared" si="29"/>
        <v xml:space="preserve">19960929  202007 04 01 01</v>
      </c>
      <c r="I134" s="189" t="s">
        <v>778</v>
      </c>
      <c r="J134" s="193" t="s">
        <v>488</v>
      </c>
      <c r="K134" s="193" t="s">
        <v>393</v>
      </c>
      <c r="L134" s="193">
        <v>1996</v>
      </c>
      <c r="M134" s="194" t="str">
        <f t="shared" si="28"/>
        <v>19960929</v>
      </c>
      <c r="N134" s="193" t="s">
        <v>325</v>
      </c>
      <c r="O134" s="193" t="s">
        <v>349</v>
      </c>
      <c r="P134" s="195">
        <v>2020</v>
      </c>
      <c r="Q134" s="193" t="s">
        <v>325</v>
      </c>
      <c r="R134" s="193" t="s">
        <v>349</v>
      </c>
      <c r="S134" s="195">
        <v>2020</v>
      </c>
      <c r="T134" s="188">
        <f t="shared" si="26"/>
        <v>5</v>
      </c>
      <c r="U134" s="188">
        <f t="shared" si="27"/>
        <v>5</v>
      </c>
      <c r="V134" s="188">
        <f t="shared" si="24"/>
        <v>5</v>
      </c>
      <c r="W134" s="188">
        <f t="shared" si="25"/>
        <v>5</v>
      </c>
      <c r="X134" s="195" t="s">
        <v>496</v>
      </c>
      <c r="Y134" s="196" t="s">
        <v>779</v>
      </c>
      <c r="Z134" s="197"/>
      <c r="AA134" s="195"/>
      <c r="AB134" s="195"/>
      <c r="AC134" s="188"/>
      <c r="AD134" s="195"/>
      <c r="AE134" s="189"/>
      <c r="AF134" s="195"/>
      <c r="AG134" s="195"/>
      <c r="AH134" s="208"/>
      <c r="AI134" s="198"/>
      <c r="AJ134" s="195"/>
      <c r="AK134" s="195"/>
      <c r="AL134" s="199"/>
      <c r="AM134" s="199"/>
      <c r="AN134" s="201"/>
      <c r="AO134" s="142"/>
    </row>
    <row r="135" s="207" customFormat="1" ht="18.75" customHeight="1">
      <c r="A135" s="188">
        <v>149</v>
      </c>
      <c r="B135" s="189" t="s">
        <v>416</v>
      </c>
      <c r="C135" s="190" t="str">
        <f>IFERROR(VLOOKUP(B135,REFERENSI!$C$6:$D$15,2,FALSE)," ")</f>
        <v>04</v>
      </c>
      <c r="D135" s="191">
        <v>14</v>
      </c>
      <c r="E135" s="189" t="s">
        <v>76</v>
      </c>
      <c r="F135" s="190" t="str">
        <f>IFERROR(VLOOKUP(E135,REFERENSI!$F$5:$G$6,2,FALSE)," ")</f>
        <v>01</v>
      </c>
      <c r="G135" s="189" t="s">
        <v>780</v>
      </c>
      <c r="H135" s="192" t="str">
        <f t="shared" si="29"/>
        <v xml:space="preserve">19620703  201907 04 01 14</v>
      </c>
      <c r="I135" s="189" t="s">
        <v>347</v>
      </c>
      <c r="J135" s="193" t="s">
        <v>354</v>
      </c>
      <c r="K135" s="193" t="s">
        <v>349</v>
      </c>
      <c r="L135" s="193">
        <v>1962</v>
      </c>
      <c r="M135" s="194" t="str">
        <f t="shared" si="28"/>
        <v>19620703</v>
      </c>
      <c r="N135" s="193" t="s">
        <v>307</v>
      </c>
      <c r="O135" s="193" t="s">
        <v>349</v>
      </c>
      <c r="P135" s="195">
        <v>2019</v>
      </c>
      <c r="Q135" s="193" t="s">
        <v>307</v>
      </c>
      <c r="R135" s="193" t="s">
        <v>349</v>
      </c>
      <c r="S135" s="195">
        <v>2019</v>
      </c>
      <c r="T135" s="188">
        <f t="shared" si="26"/>
        <v>6</v>
      </c>
      <c r="U135" s="188">
        <f t="shared" si="27"/>
        <v>6</v>
      </c>
      <c r="V135" s="188">
        <f t="shared" si="24"/>
        <v>6</v>
      </c>
      <c r="W135" s="188">
        <f t="shared" si="25"/>
        <v>6</v>
      </c>
      <c r="X135" s="195" t="s">
        <v>357</v>
      </c>
      <c r="Y135" s="196" t="s">
        <v>781</v>
      </c>
      <c r="Z135" s="197"/>
      <c r="AA135" s="195"/>
      <c r="AB135" s="195"/>
      <c r="AC135" s="188"/>
      <c r="AD135" s="195"/>
      <c r="AE135" s="189"/>
      <c r="AF135" s="195"/>
      <c r="AG135" s="195"/>
      <c r="AH135" s="208"/>
      <c r="AI135" s="198"/>
      <c r="AJ135" s="195"/>
      <c r="AK135" s="195"/>
      <c r="AL135" s="199"/>
      <c r="AM135" s="199"/>
      <c r="AN135" s="201"/>
      <c r="AO135" s="142"/>
    </row>
    <row r="136" s="207" customFormat="1" ht="18.75" customHeight="1">
      <c r="A136" s="188">
        <v>150</v>
      </c>
      <c r="B136" s="189" t="s">
        <v>550</v>
      </c>
      <c r="C136" s="190" t="str">
        <f>IFERROR(VLOOKUP(B136,REFERENSI!$C$6:$D$15,2,FALSE)," ")</f>
        <v>06</v>
      </c>
      <c r="D136" s="191" t="s">
        <v>354</v>
      </c>
      <c r="E136" s="189" t="s">
        <v>387</v>
      </c>
      <c r="F136" s="190" t="str">
        <f>IFERROR(VLOOKUP(E136,REFERENSI!$F$5:$G$6,2,FALSE)," ")</f>
        <v>02</v>
      </c>
      <c r="G136" s="189" t="s">
        <v>782</v>
      </c>
      <c r="H136" s="192" t="str">
        <f t="shared" si="29"/>
        <v xml:space="preserve">20000426  202208 06 02 03</v>
      </c>
      <c r="I136" s="189" t="s">
        <v>347</v>
      </c>
      <c r="J136" s="193" t="s">
        <v>472</v>
      </c>
      <c r="K136" s="193" t="s">
        <v>348</v>
      </c>
      <c r="L136" s="193">
        <v>2000</v>
      </c>
      <c r="M136" s="194" t="str">
        <f t="shared" si="28"/>
        <v>20000426</v>
      </c>
      <c r="N136" s="193" t="s">
        <v>354</v>
      </c>
      <c r="O136" s="193" t="s">
        <v>385</v>
      </c>
      <c r="P136" s="195">
        <v>2022</v>
      </c>
      <c r="Q136" s="193" t="s">
        <v>354</v>
      </c>
      <c r="R136" s="193" t="s">
        <v>385</v>
      </c>
      <c r="S136" s="195">
        <v>2022</v>
      </c>
      <c r="T136" s="188">
        <f t="shared" si="26"/>
        <v>3</v>
      </c>
      <c r="U136" s="188">
        <f t="shared" si="27"/>
        <v>3</v>
      </c>
      <c r="V136" s="188">
        <f t="shared" si="24"/>
        <v>3</v>
      </c>
      <c r="W136" s="188">
        <f t="shared" si="25"/>
        <v>3</v>
      </c>
      <c r="X136" s="195" t="s">
        <v>357</v>
      </c>
      <c r="Y136" s="196" t="s">
        <v>444</v>
      </c>
      <c r="Z136" s="197"/>
      <c r="AA136" s="195"/>
      <c r="AB136" s="195"/>
      <c r="AC136" s="188"/>
      <c r="AD136" s="195"/>
      <c r="AE136" s="189"/>
      <c r="AF136" s="195"/>
      <c r="AG136" s="195"/>
      <c r="AH136" s="208"/>
      <c r="AI136" s="198"/>
      <c r="AJ136" s="195"/>
      <c r="AK136" s="195"/>
      <c r="AL136" s="199"/>
      <c r="AM136" s="199"/>
      <c r="AN136" s="201"/>
      <c r="AO136" s="142"/>
    </row>
    <row r="137" s="207" customFormat="1" ht="18.75" customHeight="1">
      <c r="A137" s="188">
        <v>151</v>
      </c>
      <c r="B137" s="189" t="s">
        <v>416</v>
      </c>
      <c r="C137" s="190" t="str">
        <f>IFERROR(VLOOKUP(B137,REFERENSI!$C$6:$D$15,2,FALSE)," ")</f>
        <v>04</v>
      </c>
      <c r="D137" s="191" t="s">
        <v>354</v>
      </c>
      <c r="E137" s="189" t="s">
        <v>387</v>
      </c>
      <c r="F137" s="190" t="str">
        <f>IFERROR(VLOOKUP(E137,REFERENSI!$F$5:$G$6,2,FALSE)," ")</f>
        <v>02</v>
      </c>
      <c r="G137" s="189" t="s">
        <v>783</v>
      </c>
      <c r="H137" s="192" t="str">
        <f t="shared" si="29"/>
        <v xml:space="preserve">19990315  202002 04 02 03</v>
      </c>
      <c r="I137" s="189" t="s">
        <v>347</v>
      </c>
      <c r="J137" s="193" t="s">
        <v>423</v>
      </c>
      <c r="K137" s="193" t="s">
        <v>354</v>
      </c>
      <c r="L137" s="193">
        <v>1999</v>
      </c>
      <c r="M137" s="194" t="str">
        <f t="shared" si="28"/>
        <v>19990315</v>
      </c>
      <c r="N137" s="193" t="s">
        <v>354</v>
      </c>
      <c r="O137" s="193" t="s">
        <v>343</v>
      </c>
      <c r="P137" s="195">
        <v>2020</v>
      </c>
      <c r="Q137" s="193" t="s">
        <v>354</v>
      </c>
      <c r="R137" s="193" t="s">
        <v>343</v>
      </c>
      <c r="S137" s="195">
        <v>2020</v>
      </c>
      <c r="T137" s="188">
        <f t="shared" si="26"/>
        <v>5</v>
      </c>
      <c r="U137" s="188">
        <f t="shared" si="27"/>
        <v>5</v>
      </c>
      <c r="V137" s="188">
        <f t="shared" si="24"/>
        <v>5</v>
      </c>
      <c r="W137" s="188">
        <f t="shared" si="25"/>
        <v>5</v>
      </c>
      <c r="X137" s="195" t="s">
        <v>389</v>
      </c>
      <c r="Y137" s="196" t="s">
        <v>469</v>
      </c>
      <c r="Z137" s="197"/>
      <c r="AA137" s="195"/>
      <c r="AB137" s="195"/>
      <c r="AC137" s="188"/>
      <c r="AD137" s="195"/>
      <c r="AE137" s="189"/>
      <c r="AF137" s="195"/>
      <c r="AG137" s="195"/>
      <c r="AH137" s="208"/>
      <c r="AI137" s="198"/>
      <c r="AJ137" s="195"/>
      <c r="AK137" s="195"/>
      <c r="AL137" s="199"/>
      <c r="AM137" s="199"/>
      <c r="AN137" s="201"/>
      <c r="AO137" s="142"/>
    </row>
    <row r="138" s="207" customFormat="1" ht="18.75" customHeight="1">
      <c r="A138" s="188">
        <v>152</v>
      </c>
      <c r="B138" s="189" t="s">
        <v>416</v>
      </c>
      <c r="C138" s="190" t="str">
        <f>IFERROR(VLOOKUP(B138,REFERENSI!$C$6:$D$15,2,FALSE)," ")</f>
        <v>04</v>
      </c>
      <c r="D138" s="191" t="s">
        <v>354</v>
      </c>
      <c r="E138" s="189" t="s">
        <v>76</v>
      </c>
      <c r="F138" s="190" t="str">
        <f>IFERROR(VLOOKUP(E138,REFERENSI!$F$5:$G$6,2,FALSE)," ")</f>
        <v>01</v>
      </c>
      <c r="G138" s="189" t="s">
        <v>784</v>
      </c>
      <c r="H138" s="192" t="str">
        <f t="shared" si="29"/>
        <v xml:space="preserve">20000613  202407 04 01 03</v>
      </c>
      <c r="I138" s="189" t="s">
        <v>347</v>
      </c>
      <c r="J138" s="193" t="s">
        <v>414</v>
      </c>
      <c r="K138" s="193" t="s">
        <v>373</v>
      </c>
      <c r="L138" s="193">
        <v>2000</v>
      </c>
      <c r="M138" s="194" t="str">
        <f t="shared" si="28"/>
        <v>20000613</v>
      </c>
      <c r="N138" s="193" t="s">
        <v>423</v>
      </c>
      <c r="O138" s="193" t="s">
        <v>349</v>
      </c>
      <c r="P138" s="195">
        <v>2024</v>
      </c>
      <c r="Q138" s="193" t="s">
        <v>423</v>
      </c>
      <c r="R138" s="193" t="s">
        <v>349</v>
      </c>
      <c r="S138" s="195">
        <v>2024</v>
      </c>
      <c r="T138" s="188">
        <f t="shared" si="26"/>
        <v>1</v>
      </c>
      <c r="U138" s="188">
        <f t="shared" si="27"/>
        <v>1</v>
      </c>
      <c r="V138" s="188">
        <f t="shared" si="24"/>
        <v>1</v>
      </c>
      <c r="W138" s="188">
        <f t="shared" si="25"/>
        <v>1</v>
      </c>
      <c r="X138" s="195" t="s">
        <v>357</v>
      </c>
      <c r="Y138" s="196" t="s">
        <v>507</v>
      </c>
      <c r="Z138" s="197"/>
      <c r="AA138" s="195"/>
      <c r="AB138" s="195"/>
      <c r="AC138" s="188"/>
      <c r="AD138" s="195"/>
      <c r="AE138" s="189"/>
      <c r="AF138" s="195"/>
      <c r="AG138" s="195"/>
      <c r="AH138" s="208"/>
      <c r="AI138" s="198"/>
      <c r="AJ138" s="195"/>
      <c r="AK138" s="195"/>
      <c r="AL138" s="199"/>
      <c r="AM138" s="199"/>
      <c r="AN138" s="201"/>
      <c r="AO138" s="142"/>
    </row>
    <row r="139" s="207" customFormat="1" ht="18.75" customHeight="1">
      <c r="A139" s="188">
        <v>153</v>
      </c>
      <c r="B139" s="189" t="s">
        <v>550</v>
      </c>
      <c r="C139" s="190" t="str">
        <f>IFERROR(VLOOKUP(B139,REFERENSI!$C$6:$D$15,2,FALSE)," ")</f>
        <v>06</v>
      </c>
      <c r="D139" s="188"/>
      <c r="E139" s="189" t="s">
        <v>76</v>
      </c>
      <c r="F139" s="190" t="str">
        <f>IFERROR(VLOOKUP(E139,REFERENSI!$F$5:$G$6,2,FALSE)," ")</f>
        <v>01</v>
      </c>
      <c r="G139" s="189" t="s">
        <v>785</v>
      </c>
      <c r="H139" s="192" t="str">
        <f t="shared" si="29"/>
        <v xml:space="preserve">19911105  201902 06 01 </v>
      </c>
      <c r="I139" s="189" t="s">
        <v>347</v>
      </c>
      <c r="J139" s="193" t="s">
        <v>368</v>
      </c>
      <c r="K139" s="193" t="s">
        <v>404</v>
      </c>
      <c r="L139" s="193">
        <v>1991</v>
      </c>
      <c r="M139" s="194" t="str">
        <f t="shared" si="28"/>
        <v>19911105</v>
      </c>
      <c r="N139" s="193" t="s">
        <v>343</v>
      </c>
      <c r="O139" s="193" t="s">
        <v>343</v>
      </c>
      <c r="P139" s="195">
        <v>2019</v>
      </c>
      <c r="Q139" s="193" t="s">
        <v>343</v>
      </c>
      <c r="R139" s="193" t="s">
        <v>343</v>
      </c>
      <c r="S139" s="195">
        <v>2019</v>
      </c>
      <c r="T139" s="188">
        <f t="shared" si="26"/>
        <v>6</v>
      </c>
      <c r="U139" s="188">
        <f t="shared" si="27"/>
        <v>6</v>
      </c>
      <c r="V139" s="188">
        <f t="shared" si="24"/>
        <v>6</v>
      </c>
      <c r="W139" s="188">
        <f t="shared" si="25"/>
        <v>6</v>
      </c>
      <c r="X139" s="195" t="s">
        <v>357</v>
      </c>
      <c r="Y139" s="196" t="s">
        <v>786</v>
      </c>
      <c r="Z139" s="197"/>
      <c r="AA139" s="195"/>
      <c r="AB139" s="195"/>
      <c r="AC139" s="188"/>
      <c r="AD139" s="195"/>
      <c r="AE139" s="189"/>
      <c r="AF139" s="195"/>
      <c r="AG139" s="195"/>
      <c r="AH139" s="208"/>
      <c r="AI139" s="198"/>
      <c r="AJ139" s="195"/>
      <c r="AK139" s="195"/>
      <c r="AL139" s="199"/>
      <c r="AM139" s="199"/>
      <c r="AN139" s="201"/>
      <c r="AO139" s="142"/>
    </row>
    <row r="140" s="207" customFormat="1" ht="18.75" customHeight="1">
      <c r="A140" s="188">
        <v>154</v>
      </c>
      <c r="B140" s="189" t="s">
        <v>550</v>
      </c>
      <c r="C140" s="190" t="str">
        <f>IFERROR(VLOOKUP(B140,REFERENSI!$C$6:$D$15,2,FALSE)," ")</f>
        <v>06</v>
      </c>
      <c r="D140" s="191" t="s">
        <v>343</v>
      </c>
      <c r="E140" s="189" t="s">
        <v>76</v>
      </c>
      <c r="F140" s="190" t="str">
        <f>IFERROR(VLOOKUP(E140,REFERENSI!$F$5:$G$6,2,FALSE)," ")</f>
        <v>01</v>
      </c>
      <c r="G140" s="189" t="s">
        <v>787</v>
      </c>
      <c r="H140" s="192" t="str">
        <f t="shared" si="29"/>
        <v xml:space="preserve">19830329  201810 06 01 02</v>
      </c>
      <c r="I140" s="189" t="s">
        <v>347</v>
      </c>
      <c r="J140" s="193" t="s">
        <v>488</v>
      </c>
      <c r="K140" s="193" t="s">
        <v>354</v>
      </c>
      <c r="L140" s="193">
        <v>1983</v>
      </c>
      <c r="M140" s="194" t="str">
        <f t="shared" si="28"/>
        <v>19830329</v>
      </c>
      <c r="N140" s="193" t="s">
        <v>343</v>
      </c>
      <c r="O140" s="193" t="s">
        <v>400</v>
      </c>
      <c r="P140" s="195">
        <v>2018</v>
      </c>
      <c r="Q140" s="193" t="s">
        <v>343</v>
      </c>
      <c r="R140" s="193" t="s">
        <v>400</v>
      </c>
      <c r="S140" s="195">
        <v>2018</v>
      </c>
      <c r="T140" s="188">
        <f t="shared" si="26"/>
        <v>7</v>
      </c>
      <c r="U140" s="188">
        <f t="shared" si="27"/>
        <v>7</v>
      </c>
      <c r="V140" s="188">
        <f t="shared" si="24"/>
        <v>7</v>
      </c>
      <c r="W140" s="188">
        <f t="shared" si="25"/>
        <v>7</v>
      </c>
      <c r="X140" s="195" t="s">
        <v>496</v>
      </c>
      <c r="Y140" s="196" t="s">
        <v>788</v>
      </c>
      <c r="Z140" s="197"/>
      <c r="AA140" s="195"/>
      <c r="AB140" s="195"/>
      <c r="AC140" s="188"/>
      <c r="AD140" s="195"/>
      <c r="AE140" s="189"/>
      <c r="AF140" s="195"/>
      <c r="AG140" s="195"/>
      <c r="AH140" s="208"/>
      <c r="AI140" s="198"/>
      <c r="AJ140" s="195"/>
      <c r="AK140" s="195"/>
      <c r="AL140" s="199"/>
      <c r="AM140" s="199"/>
      <c r="AN140" s="201"/>
      <c r="AO140" s="142"/>
    </row>
    <row r="141" s="207" customFormat="1" ht="18.75" customHeight="1">
      <c r="A141" s="188">
        <v>155</v>
      </c>
      <c r="B141" s="189" t="s">
        <v>550</v>
      </c>
      <c r="C141" s="190" t="str">
        <f>IFERROR(VLOOKUP(B141,REFERENSI!$C$6:$D$15,2,FALSE)," ")</f>
        <v>06</v>
      </c>
      <c r="D141" s="191" t="s">
        <v>343</v>
      </c>
      <c r="E141" s="189" t="s">
        <v>76</v>
      </c>
      <c r="F141" s="190" t="str">
        <f>IFERROR(VLOOKUP(E141,REFERENSI!$F$5:$G$6,2,FALSE)," ")</f>
        <v>01</v>
      </c>
      <c r="G141" s="189" t="s">
        <v>789</v>
      </c>
      <c r="H141" s="192" t="str">
        <f t="shared" si="29"/>
        <v xml:space="preserve">19960411  201910 06 01 02</v>
      </c>
      <c r="I141" s="189" t="s">
        <v>347</v>
      </c>
      <c r="J141" s="193" t="s">
        <v>404</v>
      </c>
      <c r="K141" s="193" t="s">
        <v>348</v>
      </c>
      <c r="L141" s="193">
        <v>1996</v>
      </c>
      <c r="M141" s="194" t="str">
        <f t="shared" si="28"/>
        <v>19960411</v>
      </c>
      <c r="N141" s="193" t="s">
        <v>343</v>
      </c>
      <c r="O141" s="193" t="s">
        <v>400</v>
      </c>
      <c r="P141" s="195">
        <v>2019</v>
      </c>
      <c r="Q141" s="193" t="s">
        <v>343</v>
      </c>
      <c r="R141" s="193" t="s">
        <v>400</v>
      </c>
      <c r="S141" s="195">
        <v>2019</v>
      </c>
      <c r="T141" s="188">
        <f t="shared" si="26"/>
        <v>6</v>
      </c>
      <c r="U141" s="188">
        <f t="shared" si="27"/>
        <v>6</v>
      </c>
      <c r="V141" s="188">
        <f t="shared" si="24"/>
        <v>6</v>
      </c>
      <c r="W141" s="188">
        <f t="shared" si="25"/>
        <v>6</v>
      </c>
      <c r="X141" s="195" t="s">
        <v>357</v>
      </c>
      <c r="Y141" s="196" t="s">
        <v>351</v>
      </c>
      <c r="Z141" s="197"/>
      <c r="AA141" s="195"/>
      <c r="AB141" s="195"/>
      <c r="AC141" s="188"/>
      <c r="AD141" s="195"/>
      <c r="AE141" s="189"/>
      <c r="AF141" s="195"/>
      <c r="AG141" s="195"/>
      <c r="AH141" s="208"/>
      <c r="AI141" s="198"/>
      <c r="AJ141" s="195"/>
      <c r="AK141" s="195"/>
      <c r="AL141" s="199"/>
      <c r="AM141" s="199"/>
      <c r="AN141" s="201"/>
      <c r="AO141" s="142"/>
    </row>
    <row r="142" s="207" customFormat="1" ht="18.75" customHeight="1">
      <c r="A142" s="188">
        <v>156</v>
      </c>
      <c r="B142" s="189" t="s">
        <v>483</v>
      </c>
      <c r="C142" s="190" t="str">
        <f>IFERROR(VLOOKUP(B142,REFERENSI!$C$6:$D$15,2,FALSE)," ")</f>
        <v>07</v>
      </c>
      <c r="D142" s="191">
        <v>15</v>
      </c>
      <c r="E142" s="189" t="s">
        <v>76</v>
      </c>
      <c r="F142" s="190" t="str">
        <f>IFERROR(VLOOKUP(E142,REFERENSI!$F$5:$G$6,2,FALSE)," ")</f>
        <v>01</v>
      </c>
      <c r="G142" s="189" t="s">
        <v>790</v>
      </c>
      <c r="H142" s="192" t="str">
        <f t="shared" si="29"/>
        <v xml:space="preserve">19900112  202407 07 01 15</v>
      </c>
      <c r="I142" s="189" t="s">
        <v>347</v>
      </c>
      <c r="J142" s="193" t="s">
        <v>409</v>
      </c>
      <c r="K142" s="193" t="s">
        <v>325</v>
      </c>
      <c r="L142" s="193">
        <v>1990</v>
      </c>
      <c r="M142" s="194" t="str">
        <f t="shared" si="28"/>
        <v>19900112</v>
      </c>
      <c r="N142" s="193" t="s">
        <v>423</v>
      </c>
      <c r="O142" s="193" t="s">
        <v>349</v>
      </c>
      <c r="P142" s="195">
        <v>2024</v>
      </c>
      <c r="Q142" s="193" t="s">
        <v>423</v>
      </c>
      <c r="R142" s="193" t="s">
        <v>349</v>
      </c>
      <c r="S142" s="195">
        <v>2024</v>
      </c>
      <c r="T142" s="188">
        <f t="shared" si="26"/>
        <v>1</v>
      </c>
      <c r="U142" s="188">
        <f t="shared" si="27"/>
        <v>1</v>
      </c>
      <c r="V142" s="188">
        <f t="shared" si="24"/>
        <v>1</v>
      </c>
      <c r="W142" s="188">
        <f t="shared" si="25"/>
        <v>1</v>
      </c>
      <c r="X142" s="195" t="s">
        <v>357</v>
      </c>
      <c r="Y142" s="196" t="s">
        <v>791</v>
      </c>
      <c r="Z142" s="197"/>
      <c r="AA142" s="195"/>
      <c r="AB142" s="195"/>
      <c r="AC142" s="188"/>
      <c r="AD142" s="195"/>
      <c r="AE142" s="189"/>
      <c r="AF142" s="195"/>
      <c r="AG142" s="195"/>
      <c r="AH142" s="208"/>
      <c r="AI142" s="198"/>
      <c r="AJ142" s="195"/>
      <c r="AK142" s="195"/>
      <c r="AL142" s="199"/>
      <c r="AM142" s="199"/>
      <c r="AN142" s="201"/>
      <c r="AO142" s="142"/>
    </row>
    <row r="143" s="207" customFormat="1" ht="18.75" customHeight="1">
      <c r="A143" s="188">
        <v>157</v>
      </c>
      <c r="B143" s="189" t="s">
        <v>637</v>
      </c>
      <c r="C143" s="190" t="str">
        <f>IFERROR(VLOOKUP(B143,REFERENSI!$C$6:$D$15,2,FALSE)," ")</f>
        <v>05</v>
      </c>
      <c r="D143" s="191">
        <v>71</v>
      </c>
      <c r="E143" s="189" t="s">
        <v>76</v>
      </c>
      <c r="F143" s="190" t="str">
        <f>IFERROR(VLOOKUP(E143,REFERENSI!$F$5:$G$6,2,FALSE)," ")</f>
        <v>01</v>
      </c>
      <c r="G143" s="189" t="s">
        <v>792</v>
      </c>
      <c r="H143" s="192" t="str">
        <f t="shared" si="29"/>
        <v xml:space="preserve">19791021  201807 05 01 71</v>
      </c>
      <c r="I143" s="189" t="s">
        <v>793</v>
      </c>
      <c r="J143" s="193" t="s">
        <v>446</v>
      </c>
      <c r="K143" s="193" t="s">
        <v>400</v>
      </c>
      <c r="L143" s="193">
        <v>1979</v>
      </c>
      <c r="M143" s="194" t="str">
        <f t="shared" si="28"/>
        <v>19791021</v>
      </c>
      <c r="N143" s="193" t="s">
        <v>427</v>
      </c>
      <c r="O143" s="193" t="s">
        <v>349</v>
      </c>
      <c r="P143" s="195">
        <v>2018</v>
      </c>
      <c r="Q143" s="193" t="s">
        <v>427</v>
      </c>
      <c r="R143" s="193" t="s">
        <v>349</v>
      </c>
      <c r="S143" s="195">
        <v>2018</v>
      </c>
      <c r="T143" s="188">
        <f t="shared" si="26"/>
        <v>7</v>
      </c>
      <c r="U143" s="188">
        <f t="shared" si="27"/>
        <v>7</v>
      </c>
      <c r="V143" s="188">
        <f t="shared" si="24"/>
        <v>7</v>
      </c>
      <c r="W143" s="188">
        <f t="shared" si="25"/>
        <v>7</v>
      </c>
      <c r="X143" s="195" t="s">
        <v>357</v>
      </c>
      <c r="Y143" s="196" t="s">
        <v>444</v>
      </c>
      <c r="Z143" s="197"/>
      <c r="AA143" s="195"/>
      <c r="AB143" s="195"/>
      <c r="AC143" s="188"/>
      <c r="AD143" s="195"/>
      <c r="AE143" s="189"/>
      <c r="AF143" s="195"/>
      <c r="AG143" s="195"/>
      <c r="AH143" s="208"/>
      <c r="AI143" s="198"/>
      <c r="AJ143" s="195"/>
      <c r="AK143" s="195"/>
      <c r="AL143" s="199"/>
      <c r="AM143" s="199"/>
      <c r="AN143" s="201"/>
      <c r="AO143" s="142"/>
    </row>
    <row r="144" s="207" customFormat="1" ht="18.75" customHeight="1">
      <c r="A144" s="188">
        <v>158</v>
      </c>
      <c r="B144" s="189" t="s">
        <v>637</v>
      </c>
      <c r="C144" s="190" t="str">
        <f>IFERROR(VLOOKUP(B144,REFERENSI!$C$6:$D$15,2,FALSE)," ")</f>
        <v>05</v>
      </c>
      <c r="D144" s="191">
        <v>25</v>
      </c>
      <c r="E144" s="189" t="s">
        <v>76</v>
      </c>
      <c r="F144" s="190" t="str">
        <f>IFERROR(VLOOKUP(E144,REFERENSI!$F$5:$G$6,2,FALSE)," ")</f>
        <v>01</v>
      </c>
      <c r="G144" s="189" t="s">
        <v>794</v>
      </c>
      <c r="H144" s="192" t="str">
        <f t="shared" si="29"/>
        <v xml:space="preserve">19980429  202002 05 01 25</v>
      </c>
      <c r="I144" s="189" t="s">
        <v>347</v>
      </c>
      <c r="J144" s="193" t="s">
        <v>488</v>
      </c>
      <c r="K144" s="193" t="s">
        <v>348</v>
      </c>
      <c r="L144" s="193">
        <v>1998</v>
      </c>
      <c r="M144" s="194" t="str">
        <f t="shared" si="28"/>
        <v>19980429</v>
      </c>
      <c r="N144" s="193" t="s">
        <v>446</v>
      </c>
      <c r="O144" s="193" t="s">
        <v>343</v>
      </c>
      <c r="P144" s="195">
        <v>2020</v>
      </c>
      <c r="Q144" s="193" t="s">
        <v>446</v>
      </c>
      <c r="R144" s="193" t="s">
        <v>343</v>
      </c>
      <c r="S144" s="195">
        <v>2020</v>
      </c>
      <c r="T144" s="188">
        <f t="shared" si="26"/>
        <v>5</v>
      </c>
      <c r="U144" s="188">
        <f t="shared" si="27"/>
        <v>5</v>
      </c>
      <c r="V144" s="188">
        <f t="shared" si="24"/>
        <v>5</v>
      </c>
      <c r="W144" s="188">
        <f t="shared" si="25"/>
        <v>5</v>
      </c>
      <c r="X144" s="195" t="s">
        <v>357</v>
      </c>
      <c r="Y144" s="196" t="s">
        <v>795</v>
      </c>
      <c r="Z144" s="197"/>
      <c r="AA144" s="195"/>
      <c r="AB144" s="195"/>
      <c r="AC144" s="188"/>
      <c r="AD144" s="195"/>
      <c r="AE144" s="189"/>
      <c r="AF144" s="195"/>
      <c r="AG144" s="195"/>
      <c r="AH144" s="208"/>
      <c r="AI144" s="198"/>
      <c r="AJ144" s="195"/>
      <c r="AK144" s="195"/>
      <c r="AL144" s="199"/>
      <c r="AM144" s="199"/>
      <c r="AN144" s="201"/>
      <c r="AO144" s="142"/>
    </row>
    <row r="145" s="207" customFormat="1" ht="18.75" customHeight="1">
      <c r="A145" s="188">
        <v>159</v>
      </c>
      <c r="B145" s="189"/>
      <c r="C145" s="190"/>
      <c r="D145" s="191"/>
      <c r="E145" s="189"/>
      <c r="F145" s="190"/>
      <c r="H145" s="192"/>
      <c r="I145" s="189" t="s">
        <v>347</v>
      </c>
      <c r="J145" s="193"/>
      <c r="K145" s="193"/>
      <c r="L145" s="193"/>
      <c r="M145" s="194"/>
      <c r="N145" s="193"/>
      <c r="O145" s="193"/>
      <c r="P145" s="195"/>
      <c r="Q145" s="193"/>
      <c r="R145" s="193"/>
      <c r="S145" s="195"/>
      <c r="T145" s="188">
        <f t="shared" si="26"/>
        <v>2025</v>
      </c>
      <c r="U145" s="188">
        <f t="shared" si="27"/>
        <v>2025</v>
      </c>
      <c r="V145" s="188" t="str">
        <f t="shared" si="24"/>
        <v xml:space="preserve"> </v>
      </c>
      <c r="W145" s="188" t="str">
        <f t="shared" si="25"/>
        <v xml:space="preserve"> </v>
      </c>
      <c r="X145" s="195" t="s">
        <v>357</v>
      </c>
      <c r="Z145" s="197"/>
      <c r="AA145" s="195"/>
      <c r="AB145" s="195"/>
      <c r="AC145" s="188"/>
      <c r="AD145" s="195"/>
      <c r="AE145" s="189"/>
      <c r="AF145" s="195"/>
      <c r="AG145" s="195"/>
      <c r="AH145" s="208"/>
      <c r="AI145" s="198"/>
      <c r="AJ145" s="195"/>
      <c r="AK145" s="195"/>
      <c r="AL145" s="199"/>
      <c r="AM145" s="199"/>
      <c r="AN145" s="201"/>
      <c r="AO145" s="142"/>
    </row>
    <row r="146" s="207" customFormat="1" ht="18.75" customHeight="1">
      <c r="A146" s="188">
        <v>160</v>
      </c>
      <c r="B146" s="189" t="s">
        <v>483</v>
      </c>
      <c r="C146" s="190" t="str">
        <f>IFERROR(VLOOKUP(B146,REFERENSI!$C$6:$D$15,2,FALSE)," ")</f>
        <v>07</v>
      </c>
      <c r="D146" s="191">
        <v>14</v>
      </c>
      <c r="E146" s="189" t="s">
        <v>76</v>
      </c>
      <c r="F146" s="190" t="str">
        <f>IFERROR(VLOOKUP(E146,REFERENSI!$F$5:$G$6,2,FALSE)," ")</f>
        <v>01</v>
      </c>
      <c r="G146" s="189" t="s">
        <v>796</v>
      </c>
      <c r="H146" s="192" t="str">
        <f t="shared" si="29"/>
        <v xml:space="preserve">20010610  202507 07 01 14</v>
      </c>
      <c r="I146" s="189" t="s">
        <v>347</v>
      </c>
      <c r="J146" s="193" t="s">
        <v>400</v>
      </c>
      <c r="K146" s="193" t="s">
        <v>373</v>
      </c>
      <c r="L146" s="193">
        <v>2001</v>
      </c>
      <c r="M146" s="194" t="str">
        <f t="shared" si="28"/>
        <v>20010610</v>
      </c>
      <c r="N146" s="193" t="s">
        <v>307</v>
      </c>
      <c r="O146" s="193" t="s">
        <v>349</v>
      </c>
      <c r="P146" s="195">
        <v>2025</v>
      </c>
      <c r="Q146" s="193" t="s">
        <v>307</v>
      </c>
      <c r="R146" s="193" t="s">
        <v>349</v>
      </c>
      <c r="S146" s="195">
        <v>2025</v>
      </c>
      <c r="T146" s="188">
        <f t="shared" si="26"/>
        <v>0</v>
      </c>
      <c r="U146" s="188">
        <f t="shared" si="27"/>
        <v>0</v>
      </c>
      <c r="V146" s="188">
        <f t="shared" si="24"/>
        <v>0</v>
      </c>
      <c r="W146" s="188">
        <f t="shared" si="25"/>
        <v>0</v>
      </c>
      <c r="X146" s="195" t="s">
        <v>357</v>
      </c>
      <c r="Y146" s="196" t="s">
        <v>797</v>
      </c>
      <c r="Z146" s="197"/>
      <c r="AA146" s="195"/>
      <c r="AB146" s="195"/>
      <c r="AC146" s="188"/>
      <c r="AD146" s="195"/>
      <c r="AE146" s="189"/>
      <c r="AF146" s="195"/>
      <c r="AG146" s="195"/>
      <c r="AH146" s="208"/>
      <c r="AI146" s="198"/>
      <c r="AJ146" s="195"/>
      <c r="AK146" s="195"/>
      <c r="AL146" s="199"/>
      <c r="AM146" s="199"/>
      <c r="AN146" s="201"/>
      <c r="AO146" s="142"/>
    </row>
    <row r="147" s="207" customFormat="1" ht="18.75" customHeight="1">
      <c r="A147" s="188">
        <v>161</v>
      </c>
      <c r="B147" s="189" t="s">
        <v>416</v>
      </c>
      <c r="C147" s="190" t="str">
        <f>IFERROR(VLOOKUP(B147,REFERENSI!$C$6:$D$15,2,FALSE)," ")</f>
        <v>04</v>
      </c>
      <c r="D147" s="191">
        <v>15</v>
      </c>
      <c r="E147" s="189" t="s">
        <v>76</v>
      </c>
      <c r="F147" s="190" t="str">
        <f>IFERROR(VLOOKUP(E147,REFERENSI!$F$5:$G$6,2,FALSE)," ")</f>
        <v>01</v>
      </c>
      <c r="G147" s="189" t="s">
        <v>798</v>
      </c>
      <c r="H147" s="192" t="str">
        <f t="shared" si="29"/>
        <v xml:space="preserve">19920518  202407 04 01 15</v>
      </c>
      <c r="I147" s="189" t="s">
        <v>347</v>
      </c>
      <c r="J147" s="193" t="s">
        <v>434</v>
      </c>
      <c r="K147" s="193" t="s">
        <v>368</v>
      </c>
      <c r="L147" s="193">
        <v>1992</v>
      </c>
      <c r="M147" s="194" t="str">
        <f t="shared" si="28"/>
        <v>19920518</v>
      </c>
      <c r="N147" s="193" t="s">
        <v>423</v>
      </c>
      <c r="O147" s="193" t="s">
        <v>349</v>
      </c>
      <c r="P147" s="195">
        <v>2024</v>
      </c>
      <c r="Q147" s="193" t="s">
        <v>423</v>
      </c>
      <c r="R147" s="193" t="s">
        <v>349</v>
      </c>
      <c r="S147" s="195">
        <v>2024</v>
      </c>
      <c r="T147" s="188">
        <f t="shared" si="26"/>
        <v>1</v>
      </c>
      <c r="U147" s="188">
        <f t="shared" si="27"/>
        <v>1</v>
      </c>
      <c r="V147" s="188">
        <f t="shared" si="24"/>
        <v>1</v>
      </c>
      <c r="W147" s="188">
        <f t="shared" si="25"/>
        <v>1</v>
      </c>
      <c r="X147" s="195" t="s">
        <v>357</v>
      </c>
      <c r="Y147" s="196" t="s">
        <v>548</v>
      </c>
      <c r="Z147" s="197"/>
      <c r="AA147" s="195"/>
      <c r="AB147" s="195"/>
      <c r="AC147" s="188"/>
      <c r="AD147" s="195"/>
      <c r="AE147" s="189"/>
      <c r="AF147" s="195"/>
      <c r="AG147" s="195"/>
      <c r="AH147" s="208"/>
      <c r="AI147" s="198"/>
      <c r="AJ147" s="195"/>
      <c r="AK147" s="195"/>
      <c r="AL147" s="199"/>
      <c r="AM147" s="199"/>
      <c r="AN147" s="201"/>
      <c r="AO147" s="142"/>
    </row>
    <row r="148" s="207" customFormat="1" ht="20" customHeight="1">
      <c r="A148" s="188">
        <v>162</v>
      </c>
      <c r="B148" s="189" t="s">
        <v>395</v>
      </c>
      <c r="C148" s="190" t="str">
        <f>IFERROR(VLOOKUP(B148,REFERENSI!$C$6:$D$15,2,FALSE)," ")</f>
        <v>03</v>
      </c>
      <c r="D148" s="191">
        <v>17</v>
      </c>
      <c r="E148" s="189" t="s">
        <v>76</v>
      </c>
      <c r="F148" s="190" t="str">
        <f>IFERROR(VLOOKUP(E148,REFERENSI!$F$5:$G$6,2,FALSE)," ")</f>
        <v>01</v>
      </c>
      <c r="G148" s="189" t="s">
        <v>799</v>
      </c>
      <c r="H148" s="192" t="str">
        <f t="shared" si="29"/>
        <v xml:space="preserve">20000427  202307 03 01 17</v>
      </c>
      <c r="I148" s="189" t="s">
        <v>347</v>
      </c>
      <c r="J148" s="193" t="s">
        <v>477</v>
      </c>
      <c r="K148" s="193" t="s">
        <v>348</v>
      </c>
      <c r="L148" s="193">
        <v>2000</v>
      </c>
      <c r="M148" s="194" t="str">
        <f t="shared" si="28"/>
        <v>20000427</v>
      </c>
      <c r="N148" s="193" t="s">
        <v>432</v>
      </c>
      <c r="O148" s="193" t="s">
        <v>349</v>
      </c>
      <c r="P148" s="195">
        <v>2023</v>
      </c>
      <c r="Q148" s="193" t="s">
        <v>432</v>
      </c>
      <c r="R148" s="193" t="s">
        <v>349</v>
      </c>
      <c r="S148" s="195">
        <v>2023</v>
      </c>
      <c r="T148" s="188">
        <f t="shared" si="26"/>
        <v>2</v>
      </c>
      <c r="U148" s="188">
        <f t="shared" si="27"/>
        <v>2</v>
      </c>
      <c r="V148" s="188">
        <f t="shared" si="24"/>
        <v>2</v>
      </c>
      <c r="W148" s="188">
        <f t="shared" si="25"/>
        <v>2</v>
      </c>
      <c r="X148" s="195" t="s">
        <v>357</v>
      </c>
      <c r="Y148" s="196" t="s">
        <v>444</v>
      </c>
      <c r="Z148" s="197"/>
      <c r="AA148" s="195"/>
      <c r="AB148" s="195"/>
      <c r="AC148" s="188"/>
      <c r="AD148" s="195"/>
      <c r="AE148" s="189"/>
      <c r="AF148" s="195"/>
      <c r="AG148" s="195"/>
      <c r="AH148" s="208"/>
      <c r="AI148" s="198"/>
      <c r="AJ148" s="195"/>
      <c r="AK148" s="195"/>
      <c r="AL148" s="199"/>
      <c r="AM148" s="199"/>
      <c r="AN148" s="201"/>
      <c r="AO148" s="142"/>
    </row>
    <row r="149" s="207" customFormat="1" ht="18.75" customHeight="1">
      <c r="A149" s="188">
        <v>163</v>
      </c>
      <c r="B149" s="189" t="s">
        <v>416</v>
      </c>
      <c r="C149" s="190" t="str">
        <f>IFERROR(VLOOKUP(B149,REFERENSI!$C$6:$D$15,2,FALSE)," ")</f>
        <v>04</v>
      </c>
      <c r="D149" s="191">
        <v>12</v>
      </c>
      <c r="E149" s="189" t="s">
        <v>76</v>
      </c>
      <c r="F149" s="190" t="str">
        <f>IFERROR(VLOOKUP(E149,REFERENSI!$F$5:$G$6,2,FALSE)," ")</f>
        <v>01</v>
      </c>
      <c r="G149" s="189" t="s">
        <v>800</v>
      </c>
      <c r="H149" s="192" t="str">
        <f t="shared" si="29"/>
        <v xml:space="preserve">19990118  202107 04 01 12</v>
      </c>
      <c r="I149" s="189" t="s">
        <v>347</v>
      </c>
      <c r="J149" s="193" t="s">
        <v>434</v>
      </c>
      <c r="K149" s="193" t="s">
        <v>325</v>
      </c>
      <c r="L149" s="193">
        <v>1999</v>
      </c>
      <c r="M149" s="194" t="str">
        <f t="shared" si="28"/>
        <v>19990118</v>
      </c>
      <c r="N149" s="193" t="s">
        <v>409</v>
      </c>
      <c r="O149" s="193" t="s">
        <v>349</v>
      </c>
      <c r="P149" s="195">
        <v>2021</v>
      </c>
      <c r="Q149" s="193" t="s">
        <v>409</v>
      </c>
      <c r="R149" s="193" t="s">
        <v>349</v>
      </c>
      <c r="S149" s="195">
        <v>2021</v>
      </c>
      <c r="T149" s="188">
        <f t="shared" si="26"/>
        <v>4</v>
      </c>
      <c r="U149" s="188">
        <f t="shared" si="27"/>
        <v>4</v>
      </c>
      <c r="V149" s="188">
        <f t="shared" si="24"/>
        <v>4</v>
      </c>
      <c r="W149" s="188">
        <f t="shared" si="25"/>
        <v>4</v>
      </c>
      <c r="X149" s="195" t="s">
        <v>357</v>
      </c>
      <c r="Y149" s="196" t="s">
        <v>646</v>
      </c>
      <c r="Z149" s="197"/>
      <c r="AA149" s="195"/>
      <c r="AB149" s="195"/>
      <c r="AC149" s="188"/>
      <c r="AD149" s="195"/>
      <c r="AE149" s="189"/>
      <c r="AF149" s="195"/>
      <c r="AG149" s="195"/>
      <c r="AH149" s="208"/>
      <c r="AI149" s="198"/>
      <c r="AJ149" s="195"/>
      <c r="AK149" s="195"/>
      <c r="AL149" s="199"/>
      <c r="AM149" s="199"/>
      <c r="AN149" s="201"/>
      <c r="AO149" s="142"/>
    </row>
    <row r="150" s="207" customFormat="1" ht="18.75" customHeight="1">
      <c r="A150" s="188">
        <v>164</v>
      </c>
      <c r="B150" s="189" t="s">
        <v>416</v>
      </c>
      <c r="C150" s="190" t="str">
        <f>IFERROR(VLOOKUP(B150,REFERENSI!$C$6:$D$15,2,FALSE)," ")</f>
        <v>04</v>
      </c>
      <c r="D150" s="191">
        <v>12</v>
      </c>
      <c r="E150" s="189" t="s">
        <v>76</v>
      </c>
      <c r="F150" s="190" t="str">
        <f>IFERROR(VLOOKUP(E150,REFERENSI!$F$5:$G$6,2,FALSE)," ")</f>
        <v>01</v>
      </c>
      <c r="G150" s="189" t="s">
        <v>801</v>
      </c>
      <c r="H150" s="192" t="str">
        <f t="shared" si="29"/>
        <v xml:space="preserve">20001128  202407 04 01 12</v>
      </c>
      <c r="I150" s="189" t="s">
        <v>347</v>
      </c>
      <c r="J150" s="193" t="s">
        <v>482</v>
      </c>
      <c r="K150" s="193" t="s">
        <v>404</v>
      </c>
      <c r="L150" s="193">
        <v>2000</v>
      </c>
      <c r="M150" s="194" t="str">
        <f t="shared" si="28"/>
        <v>20001128</v>
      </c>
      <c r="N150" s="193" t="s">
        <v>423</v>
      </c>
      <c r="O150" s="193" t="s">
        <v>349</v>
      </c>
      <c r="P150" s="195">
        <v>2024</v>
      </c>
      <c r="Q150" s="193" t="s">
        <v>423</v>
      </c>
      <c r="R150" s="193" t="s">
        <v>349</v>
      </c>
      <c r="S150" s="195">
        <v>2024</v>
      </c>
      <c r="T150" s="188">
        <f t="shared" si="26"/>
        <v>1</v>
      </c>
      <c r="U150" s="188">
        <f t="shared" si="27"/>
        <v>1</v>
      </c>
      <c r="V150" s="188">
        <f t="shared" si="24"/>
        <v>1</v>
      </c>
      <c r="W150" s="188">
        <f t="shared" si="25"/>
        <v>1</v>
      </c>
      <c r="X150" s="195" t="s">
        <v>357</v>
      </c>
      <c r="Y150" s="196" t="s">
        <v>679</v>
      </c>
      <c r="Z150" s="197"/>
      <c r="AA150" s="195"/>
      <c r="AB150" s="195"/>
      <c r="AC150" s="188"/>
      <c r="AD150" s="195"/>
      <c r="AE150" s="189"/>
      <c r="AF150" s="195"/>
      <c r="AG150" s="195"/>
      <c r="AH150" s="208"/>
      <c r="AI150" s="198"/>
      <c r="AJ150" s="195"/>
      <c r="AK150" s="195"/>
      <c r="AL150" s="199"/>
      <c r="AM150" s="199"/>
      <c r="AN150" s="201"/>
      <c r="AO150" s="142"/>
    </row>
    <row r="151" s="207" customFormat="1" ht="18.5" customHeight="1">
      <c r="A151" s="188">
        <v>165</v>
      </c>
      <c r="B151" s="189" t="s">
        <v>416</v>
      </c>
      <c r="C151" s="190" t="str">
        <f>IFERROR(VLOOKUP(B151,REFERENSI!$C$6:$D$15,2,FALSE)," ")</f>
        <v>04</v>
      </c>
      <c r="D151" s="191">
        <v>17</v>
      </c>
      <c r="E151" s="189" t="s">
        <v>76</v>
      </c>
      <c r="F151" s="190" t="str">
        <f>IFERROR(VLOOKUP(E151,REFERENSI!$F$5:$G$6,2,FALSE)," ")</f>
        <v>01</v>
      </c>
      <c r="G151" s="189" t="s">
        <v>802</v>
      </c>
      <c r="H151" s="192" t="str">
        <f t="shared" si="29"/>
        <v xml:space="preserve">19981120  202307 04 01 17</v>
      </c>
      <c r="I151" s="189" t="s">
        <v>347</v>
      </c>
      <c r="J151" s="193" t="s">
        <v>442</v>
      </c>
      <c r="K151" s="193" t="s">
        <v>404</v>
      </c>
      <c r="L151" s="193">
        <v>1998</v>
      </c>
      <c r="M151" s="194" t="str">
        <f t="shared" si="28"/>
        <v>19981120</v>
      </c>
      <c r="N151" s="193" t="s">
        <v>432</v>
      </c>
      <c r="O151" s="193" t="s">
        <v>349</v>
      </c>
      <c r="P151" s="195">
        <v>2023</v>
      </c>
      <c r="Q151" s="193" t="s">
        <v>432</v>
      </c>
      <c r="R151" s="193" t="s">
        <v>349</v>
      </c>
      <c r="S151" s="195">
        <v>2023</v>
      </c>
      <c r="T151" s="188">
        <f t="shared" si="26"/>
        <v>2</v>
      </c>
      <c r="U151" s="188">
        <f t="shared" si="27"/>
        <v>2</v>
      </c>
      <c r="V151" s="188">
        <f t="shared" si="24"/>
        <v>2</v>
      </c>
      <c r="W151" s="188">
        <f t="shared" si="25"/>
        <v>2</v>
      </c>
      <c r="X151" s="195" t="s">
        <v>357</v>
      </c>
      <c r="Y151" s="196" t="s">
        <v>679</v>
      </c>
      <c r="Z151" s="197"/>
      <c r="AA151" s="195"/>
      <c r="AB151" s="195"/>
      <c r="AC151" s="188"/>
      <c r="AD151" s="195"/>
      <c r="AE151" s="189"/>
      <c r="AF151" s="195"/>
      <c r="AG151" s="195"/>
      <c r="AH151" s="208"/>
      <c r="AI151" s="198"/>
      <c r="AJ151" s="195"/>
      <c r="AK151" s="195"/>
      <c r="AL151" s="199"/>
      <c r="AM151" s="199"/>
      <c r="AN151" s="201"/>
      <c r="AO151" s="142"/>
    </row>
    <row r="152" s="207" customFormat="1" ht="18.75" customHeight="1">
      <c r="A152" s="188">
        <v>166</v>
      </c>
      <c r="B152" s="189" t="s">
        <v>416</v>
      </c>
      <c r="C152" s="190" t="str">
        <f>IFERROR(VLOOKUP(B152,REFERENSI!$C$6:$D$15,2,FALSE)," ")</f>
        <v>04</v>
      </c>
      <c r="D152" s="191">
        <v>12</v>
      </c>
      <c r="E152" s="189" t="s">
        <v>76</v>
      </c>
      <c r="F152" s="190" t="str">
        <f>IFERROR(VLOOKUP(E152,REFERENSI!$F$5:$G$6,2,FALSE)," ")</f>
        <v>01</v>
      </c>
      <c r="G152" s="189" t="s">
        <v>803</v>
      </c>
      <c r="H152" s="192" t="str">
        <f t="shared" si="29"/>
        <v xml:space="preserve">19860225  202107 04 01 12</v>
      </c>
      <c r="I152" s="189" t="s">
        <v>347</v>
      </c>
      <c r="J152" s="193" t="s">
        <v>467</v>
      </c>
      <c r="K152" s="193" t="s">
        <v>343</v>
      </c>
      <c r="L152" s="193">
        <v>1986</v>
      </c>
      <c r="M152" s="194" t="str">
        <f t="shared" si="28"/>
        <v>19860225</v>
      </c>
      <c r="N152" s="193" t="s">
        <v>409</v>
      </c>
      <c r="O152" s="193" t="s">
        <v>349</v>
      </c>
      <c r="P152" s="195">
        <v>2021</v>
      </c>
      <c r="Q152" s="193" t="s">
        <v>409</v>
      </c>
      <c r="R152" s="193" t="s">
        <v>349</v>
      </c>
      <c r="S152" s="195">
        <v>2021</v>
      </c>
      <c r="T152" s="188">
        <f t="shared" si="26"/>
        <v>4</v>
      </c>
      <c r="U152" s="188">
        <f t="shared" si="27"/>
        <v>4</v>
      </c>
      <c r="V152" s="188">
        <f t="shared" si="24"/>
        <v>4</v>
      </c>
      <c r="W152" s="188">
        <f t="shared" si="25"/>
        <v>4</v>
      </c>
      <c r="X152" s="195" t="s">
        <v>357</v>
      </c>
      <c r="Y152" s="196" t="s">
        <v>804</v>
      </c>
      <c r="Z152" s="197"/>
      <c r="AA152" s="195"/>
      <c r="AB152" s="195"/>
      <c r="AC152" s="188"/>
      <c r="AD152" s="195"/>
      <c r="AE152" s="189"/>
      <c r="AF152" s="195"/>
      <c r="AG152" s="195"/>
      <c r="AH152" s="208"/>
      <c r="AI152" s="198"/>
      <c r="AJ152" s="195"/>
      <c r="AK152" s="195"/>
      <c r="AL152" s="199"/>
      <c r="AM152" s="199"/>
      <c r="AN152" s="201"/>
      <c r="AO152" s="142"/>
    </row>
    <row r="153" s="207" customFormat="1" ht="18.75" customHeight="1">
      <c r="A153" s="188">
        <v>167</v>
      </c>
      <c r="B153" s="189" t="s">
        <v>416</v>
      </c>
      <c r="C153" s="190" t="str">
        <f>IFERROR(VLOOKUP(B153,REFERENSI!$C$6:$D$15,2,FALSE)," ")</f>
        <v>04</v>
      </c>
      <c r="D153" s="191">
        <v>12</v>
      </c>
      <c r="E153" s="189" t="s">
        <v>76</v>
      </c>
      <c r="F153" s="190" t="str">
        <f>IFERROR(VLOOKUP(E153,REFERENSI!$F$5:$G$6,2,FALSE)," ")</f>
        <v>01</v>
      </c>
      <c r="G153" s="189" t="s">
        <v>805</v>
      </c>
      <c r="H153" s="192" t="str">
        <f t="shared" si="29"/>
        <v xml:space="preserve">19980707  202107 04 01 12</v>
      </c>
      <c r="I153" s="189" t="s">
        <v>347</v>
      </c>
      <c r="J153" s="193" t="s">
        <v>349</v>
      </c>
      <c r="K153" s="193" t="s">
        <v>349</v>
      </c>
      <c r="L153" s="193">
        <v>1998</v>
      </c>
      <c r="M153" s="194" t="str">
        <f t="shared" si="28"/>
        <v>19980707</v>
      </c>
      <c r="N153" s="193" t="s">
        <v>409</v>
      </c>
      <c r="O153" s="193" t="s">
        <v>349</v>
      </c>
      <c r="P153" s="195">
        <v>2021</v>
      </c>
      <c r="Q153" s="193" t="s">
        <v>409</v>
      </c>
      <c r="R153" s="193" t="s">
        <v>349</v>
      </c>
      <c r="S153" s="195">
        <v>2021</v>
      </c>
      <c r="T153" s="188">
        <f t="shared" si="26"/>
        <v>4</v>
      </c>
      <c r="U153" s="188">
        <f t="shared" si="27"/>
        <v>4</v>
      </c>
      <c r="V153" s="188">
        <f t="shared" si="24"/>
        <v>4</v>
      </c>
      <c r="W153" s="188">
        <f t="shared" si="25"/>
        <v>4</v>
      </c>
      <c r="X153" s="195" t="s">
        <v>357</v>
      </c>
      <c r="Y153" s="196" t="s">
        <v>781</v>
      </c>
      <c r="Z153" s="197"/>
      <c r="AA153" s="195"/>
      <c r="AB153" s="195"/>
      <c r="AC153" s="188"/>
      <c r="AD153" s="195"/>
      <c r="AE153" s="189"/>
      <c r="AF153" s="195"/>
      <c r="AG153" s="195"/>
      <c r="AH153" s="208"/>
      <c r="AI153" s="198"/>
      <c r="AJ153" s="195"/>
      <c r="AK153" s="195"/>
      <c r="AL153" s="199"/>
      <c r="AM153" s="199"/>
      <c r="AN153" s="201"/>
      <c r="AO153" s="142"/>
    </row>
    <row r="154" s="207" customFormat="1" ht="18.75" customHeight="1">
      <c r="A154" s="188">
        <v>168</v>
      </c>
      <c r="B154" s="189" t="s">
        <v>416</v>
      </c>
      <c r="C154" s="190" t="str">
        <f>IFERROR(VLOOKUP(B154,REFERENSI!$C$6:$D$15,2,FALSE)," ")</f>
        <v>04</v>
      </c>
      <c r="D154" s="191">
        <v>15</v>
      </c>
      <c r="E154" s="189" t="s">
        <v>76</v>
      </c>
      <c r="F154" s="190" t="str">
        <f>IFERROR(VLOOKUP(E154,REFERENSI!$F$5:$G$6,2,FALSE)," ")</f>
        <v>01</v>
      </c>
      <c r="G154" s="189" t="s">
        <v>806</v>
      </c>
      <c r="H154" s="192" t="str">
        <f t="shared" si="29"/>
        <v xml:space="preserve">19931205  202407 04 01 15</v>
      </c>
      <c r="I154" s="189" t="s">
        <v>347</v>
      </c>
      <c r="J154" s="193" t="s">
        <v>368</v>
      </c>
      <c r="K154" s="193" t="s">
        <v>409</v>
      </c>
      <c r="L154" s="193">
        <v>1993</v>
      </c>
      <c r="M154" s="194" t="str">
        <f t="shared" si="28"/>
        <v>19931205</v>
      </c>
      <c r="N154" s="193" t="s">
        <v>423</v>
      </c>
      <c r="O154" s="193" t="s">
        <v>349</v>
      </c>
      <c r="P154" s="195">
        <v>2024</v>
      </c>
      <c r="Q154" s="193" t="s">
        <v>423</v>
      </c>
      <c r="R154" s="193" t="s">
        <v>349</v>
      </c>
      <c r="S154" s="195">
        <v>2024</v>
      </c>
      <c r="T154" s="188">
        <f t="shared" si="26"/>
        <v>1</v>
      </c>
      <c r="U154" s="188">
        <f t="shared" si="27"/>
        <v>1</v>
      </c>
      <c r="V154" s="188">
        <f t="shared" si="24"/>
        <v>1</v>
      </c>
      <c r="W154" s="188">
        <f t="shared" si="25"/>
        <v>1</v>
      </c>
      <c r="X154" s="195" t="s">
        <v>357</v>
      </c>
      <c r="Y154" s="196" t="s">
        <v>639</v>
      </c>
      <c r="Z154" s="197"/>
      <c r="AA154" s="195"/>
      <c r="AB154" s="195"/>
      <c r="AC154" s="188"/>
      <c r="AD154" s="195"/>
      <c r="AE154" s="189"/>
      <c r="AF154" s="195"/>
      <c r="AG154" s="195"/>
      <c r="AH154" s="208"/>
      <c r="AI154" s="198"/>
      <c r="AJ154" s="195"/>
      <c r="AK154" s="195"/>
      <c r="AL154" s="199"/>
      <c r="AM154" s="199"/>
      <c r="AN154" s="201"/>
      <c r="AO154" s="142"/>
    </row>
    <row r="155" s="207" customFormat="1" ht="18.5" customHeight="1">
      <c r="A155" s="188">
        <v>169</v>
      </c>
      <c r="B155" s="189" t="s">
        <v>550</v>
      </c>
      <c r="C155" s="190" t="str">
        <f>IFERROR(VLOOKUP(B155,REFERENSI!$C$6:$D$15,2,FALSE)," ")</f>
        <v>06</v>
      </c>
      <c r="D155" s="191">
        <v>20</v>
      </c>
      <c r="E155" s="189" t="s">
        <v>76</v>
      </c>
      <c r="F155" s="190" t="str">
        <f>IFERROR(VLOOKUP(E155,REFERENSI!$F$5:$G$6,2,FALSE)," ")</f>
        <v>01</v>
      </c>
      <c r="G155" s="189" t="s">
        <v>807</v>
      </c>
      <c r="H155" s="192" t="str">
        <f t="shared" si="29"/>
        <v xml:space="preserve">19911002  202202 06 01 20</v>
      </c>
      <c r="I155" s="189" t="s">
        <v>347</v>
      </c>
      <c r="J155" s="193" t="s">
        <v>343</v>
      </c>
      <c r="K155" s="193" t="s">
        <v>400</v>
      </c>
      <c r="L155" s="193">
        <v>1991</v>
      </c>
      <c r="M155" s="194" t="str">
        <f t="shared" si="28"/>
        <v>19911002</v>
      </c>
      <c r="N155" s="193" t="s">
        <v>442</v>
      </c>
      <c r="O155" s="193" t="s">
        <v>343</v>
      </c>
      <c r="P155" s="195">
        <v>2022</v>
      </c>
      <c r="Q155" s="193" t="s">
        <v>442</v>
      </c>
      <c r="R155" s="193" t="s">
        <v>354</v>
      </c>
      <c r="S155" s="195">
        <v>2022</v>
      </c>
      <c r="T155" s="188">
        <f t="shared" si="26"/>
        <v>3</v>
      </c>
      <c r="U155" s="188">
        <f t="shared" si="27"/>
        <v>3</v>
      </c>
      <c r="V155" s="188">
        <f t="shared" si="24"/>
        <v>3</v>
      </c>
      <c r="W155" s="188">
        <f t="shared" si="25"/>
        <v>3</v>
      </c>
      <c r="X155" s="195" t="s">
        <v>357</v>
      </c>
      <c r="Y155" s="196" t="s">
        <v>808</v>
      </c>
      <c r="Z155" s="197"/>
      <c r="AA155" s="195"/>
      <c r="AB155" s="195"/>
      <c r="AC155" s="188"/>
      <c r="AD155" s="195"/>
      <c r="AE155" s="189"/>
      <c r="AF155" s="195"/>
      <c r="AG155" s="195"/>
      <c r="AH155" s="208"/>
      <c r="AI155" s="198"/>
      <c r="AJ155" s="195"/>
      <c r="AK155" s="195"/>
      <c r="AL155" s="199"/>
      <c r="AM155" s="199"/>
      <c r="AN155" s="201"/>
      <c r="AO155" s="142"/>
    </row>
    <row r="156" s="207" customFormat="1" ht="18.75" customHeight="1">
      <c r="A156" s="188">
        <v>170</v>
      </c>
      <c r="B156" s="189" t="s">
        <v>416</v>
      </c>
      <c r="C156" s="190" t="str">
        <f>IFERROR(VLOOKUP(B156,REFERENSI!$C$6:$D$15,2,FALSE)," ")</f>
        <v>04</v>
      </c>
      <c r="D156" s="191" t="s">
        <v>343</v>
      </c>
      <c r="E156" s="189" t="s">
        <v>76</v>
      </c>
      <c r="F156" s="190" t="str">
        <f>IFERROR(VLOOKUP(E156,REFERENSI!$F$5:$G$6,2,FALSE)," ")</f>
        <v>01</v>
      </c>
      <c r="G156" s="189" t="s">
        <v>809</v>
      </c>
      <c r="H156" s="192" t="str">
        <f t="shared" si="29"/>
        <v xml:space="preserve">19980625  202101 04 01 02</v>
      </c>
      <c r="I156" s="189" t="s">
        <v>810</v>
      </c>
      <c r="J156" s="193" t="s">
        <v>467</v>
      </c>
      <c r="K156" s="193" t="s">
        <v>373</v>
      </c>
      <c r="L156" s="193">
        <v>1998</v>
      </c>
      <c r="M156" s="194" t="str">
        <f t="shared" si="28"/>
        <v>19980625</v>
      </c>
      <c r="N156" s="193" t="s">
        <v>343</v>
      </c>
      <c r="O156" s="193" t="s">
        <v>325</v>
      </c>
      <c r="P156" s="195">
        <v>2021</v>
      </c>
      <c r="Q156" s="193" t="s">
        <v>343</v>
      </c>
      <c r="R156" s="193" t="s">
        <v>325</v>
      </c>
      <c r="S156" s="195">
        <v>2021</v>
      </c>
      <c r="T156" s="188">
        <f t="shared" si="26"/>
        <v>4</v>
      </c>
      <c r="U156" s="188">
        <f t="shared" si="27"/>
        <v>4</v>
      </c>
      <c r="V156" s="188">
        <f t="shared" si="24"/>
        <v>4</v>
      </c>
      <c r="W156" s="188">
        <f t="shared" si="25"/>
        <v>4</v>
      </c>
      <c r="X156" s="195" t="s">
        <v>496</v>
      </c>
      <c r="Y156" s="196" t="s">
        <v>811</v>
      </c>
      <c r="Z156" s="197"/>
      <c r="AA156" s="195"/>
      <c r="AB156" s="195"/>
      <c r="AC156" s="188"/>
      <c r="AD156" s="195"/>
      <c r="AE156" s="189"/>
      <c r="AF156" s="195"/>
      <c r="AG156" s="195"/>
      <c r="AH156" s="208"/>
      <c r="AI156" s="198"/>
      <c r="AJ156" s="195"/>
      <c r="AK156" s="195"/>
      <c r="AL156" s="199"/>
      <c r="AM156" s="199"/>
      <c r="AN156" s="201"/>
      <c r="AO156" s="142"/>
    </row>
    <row r="157" s="207" customFormat="1" ht="18.75" customHeight="1">
      <c r="A157" s="188">
        <v>171</v>
      </c>
      <c r="B157" s="189" t="s">
        <v>395</v>
      </c>
      <c r="C157" s="190" t="str">
        <f>IFERROR(VLOOKUP(B157,REFERENSI!$C$6:$D$15,2,FALSE)," ")</f>
        <v>03</v>
      </c>
      <c r="D157" s="191">
        <v>17</v>
      </c>
      <c r="E157" s="189" t="s">
        <v>387</v>
      </c>
      <c r="F157" s="190" t="str">
        <f>IFERROR(VLOOKUP(E157,REFERENSI!$F$5:$G$6,2,FALSE)," ")</f>
        <v>02</v>
      </c>
      <c r="G157" s="189" t="s">
        <v>812</v>
      </c>
      <c r="H157" s="192" t="str">
        <f t="shared" si="29"/>
        <v xml:space="preserve">20030505  202307 03 02 17</v>
      </c>
      <c r="I157" s="189" t="s">
        <v>347</v>
      </c>
      <c r="J157" s="193" t="s">
        <v>368</v>
      </c>
      <c r="K157" s="193" t="s">
        <v>368</v>
      </c>
      <c r="L157" s="193">
        <v>2003</v>
      </c>
      <c r="M157" s="194" t="str">
        <f t="shared" si="28"/>
        <v>20030505</v>
      </c>
      <c r="N157" s="193" t="s">
        <v>432</v>
      </c>
      <c r="O157" s="193" t="s">
        <v>349</v>
      </c>
      <c r="P157" s="195">
        <v>2023</v>
      </c>
      <c r="Q157" s="193" t="s">
        <v>432</v>
      </c>
      <c r="R157" s="193" t="s">
        <v>349</v>
      </c>
      <c r="S157" s="195">
        <v>2023</v>
      </c>
      <c r="T157" s="188">
        <f t="shared" si="26"/>
        <v>2</v>
      </c>
      <c r="U157" s="188">
        <f t="shared" si="27"/>
        <v>2</v>
      </c>
      <c r="V157" s="188">
        <f t="shared" si="24"/>
        <v>2</v>
      </c>
      <c r="W157" s="188">
        <f t="shared" si="25"/>
        <v>2</v>
      </c>
      <c r="X157" s="195" t="s">
        <v>389</v>
      </c>
      <c r="Y157" s="196" t="s">
        <v>469</v>
      </c>
      <c r="Z157" s="197"/>
      <c r="AA157" s="195"/>
      <c r="AB157" s="195"/>
      <c r="AC157" s="188"/>
      <c r="AD157" s="195"/>
      <c r="AE157" s="189"/>
      <c r="AF157" s="195"/>
      <c r="AG157" s="195"/>
      <c r="AH157" s="208"/>
      <c r="AI157" s="198"/>
      <c r="AJ157" s="195"/>
      <c r="AK157" s="195"/>
      <c r="AL157" s="199"/>
      <c r="AM157" s="199"/>
      <c r="AN157" s="201"/>
      <c r="AO157" s="142"/>
    </row>
    <row r="158" s="207" customFormat="1" ht="18.5" customHeight="1">
      <c r="A158" s="188">
        <v>172</v>
      </c>
      <c r="B158" s="189" t="s">
        <v>550</v>
      </c>
      <c r="C158" s="190" t="str">
        <f>IFERROR(VLOOKUP(B158,REFERENSI!$C$6:$D$15,2,FALSE)," ")</f>
        <v>06</v>
      </c>
      <c r="D158" s="191">
        <v>13</v>
      </c>
      <c r="E158" s="189" t="s">
        <v>387</v>
      </c>
      <c r="F158" s="190" t="str">
        <f>IFERROR(VLOOKUP(E158,REFERENSI!$F$5:$G$6,2,FALSE)," ")</f>
        <v>02</v>
      </c>
      <c r="G158" s="189" t="s">
        <v>813</v>
      </c>
      <c r="H158" s="192" t="str">
        <f t="shared" si="29"/>
        <v xml:space="preserve">19980314  202007 06 02 13</v>
      </c>
      <c r="I158" s="189" t="s">
        <v>347</v>
      </c>
      <c r="J158" s="193" t="s">
        <v>307</v>
      </c>
      <c r="K158" s="193" t="s">
        <v>354</v>
      </c>
      <c r="L158" s="193">
        <v>1998</v>
      </c>
      <c r="M158" s="194" t="str">
        <f t="shared" si="28"/>
        <v>19980314</v>
      </c>
      <c r="N158" s="193" t="s">
        <v>414</v>
      </c>
      <c r="O158" s="193" t="s">
        <v>349</v>
      </c>
      <c r="P158" s="195">
        <v>2020</v>
      </c>
      <c r="Q158" s="193" t="s">
        <v>414</v>
      </c>
      <c r="R158" s="193" t="s">
        <v>349</v>
      </c>
      <c r="S158" s="195">
        <v>2020</v>
      </c>
      <c r="T158" s="188">
        <f t="shared" si="26"/>
        <v>5</v>
      </c>
      <c r="U158" s="188">
        <f t="shared" si="27"/>
        <v>5</v>
      </c>
      <c r="V158" s="188">
        <f t="shared" si="24"/>
        <v>5</v>
      </c>
      <c r="W158" s="188">
        <f t="shared" si="25"/>
        <v>5</v>
      </c>
      <c r="X158" s="195" t="s">
        <v>357</v>
      </c>
      <c r="Y158" s="196" t="s">
        <v>592</v>
      </c>
      <c r="Z158" s="197"/>
      <c r="AA158" s="195"/>
      <c r="AB158" s="195"/>
      <c r="AC158" s="188"/>
      <c r="AD158" s="195"/>
      <c r="AE158" s="189"/>
      <c r="AF158" s="195"/>
      <c r="AG158" s="195"/>
      <c r="AH158" s="208"/>
      <c r="AI158" s="198"/>
      <c r="AJ158" s="195"/>
      <c r="AK158" s="195"/>
      <c r="AL158" s="199"/>
      <c r="AM158" s="199"/>
      <c r="AN158" s="201"/>
      <c r="AO158" s="142"/>
    </row>
    <row r="159" s="207" customFormat="1" ht="18.75" customHeight="1">
      <c r="A159" s="188">
        <v>173</v>
      </c>
      <c r="B159" s="189" t="s">
        <v>550</v>
      </c>
      <c r="C159" s="190" t="str">
        <f>IFERROR(VLOOKUP(B159,REFERENSI!$C$6:$D$15,2,FALSE)," ")</f>
        <v>06</v>
      </c>
      <c r="D159" s="191">
        <v>12</v>
      </c>
      <c r="E159" s="189" t="s">
        <v>76</v>
      </c>
      <c r="F159" s="190" t="str">
        <f>IFERROR(VLOOKUP(E159,REFERENSI!$F$5:$G$6,2,FALSE)," ")</f>
        <v>01</v>
      </c>
      <c r="G159" s="189" t="s">
        <v>814</v>
      </c>
      <c r="H159" s="192" t="str">
        <f t="shared" si="29"/>
        <v xml:space="preserve">19980218  202107 06 01 12</v>
      </c>
      <c r="I159" s="189" t="s">
        <v>347</v>
      </c>
      <c r="J159" s="193" t="s">
        <v>434</v>
      </c>
      <c r="K159" s="193" t="s">
        <v>343</v>
      </c>
      <c r="L159" s="193">
        <v>1998</v>
      </c>
      <c r="M159" s="194" t="str">
        <f t="shared" si="28"/>
        <v>19980218</v>
      </c>
      <c r="N159" s="193" t="s">
        <v>409</v>
      </c>
      <c r="O159" s="193" t="s">
        <v>349</v>
      </c>
      <c r="P159" s="195">
        <v>2021</v>
      </c>
      <c r="Q159" s="193" t="s">
        <v>409</v>
      </c>
      <c r="R159" s="193" t="s">
        <v>349</v>
      </c>
      <c r="S159" s="195">
        <v>2021</v>
      </c>
      <c r="T159" s="188">
        <f t="shared" si="26"/>
        <v>4</v>
      </c>
      <c r="U159" s="188">
        <f t="shared" si="27"/>
        <v>4</v>
      </c>
      <c r="V159" s="188">
        <f t="shared" si="24"/>
        <v>4</v>
      </c>
      <c r="W159" s="188">
        <f t="shared" si="25"/>
        <v>4</v>
      </c>
      <c r="X159" s="195" t="s">
        <v>357</v>
      </c>
      <c r="Y159" s="196" t="s">
        <v>736</v>
      </c>
      <c r="Z159" s="197"/>
      <c r="AA159" s="195"/>
      <c r="AB159" s="195"/>
      <c r="AC159" s="188"/>
      <c r="AD159" s="195"/>
      <c r="AE159" s="189"/>
      <c r="AF159" s="195"/>
      <c r="AG159" s="195"/>
      <c r="AH159" s="208"/>
      <c r="AI159" s="198"/>
      <c r="AJ159" s="195"/>
      <c r="AK159" s="195"/>
      <c r="AL159" s="199"/>
      <c r="AM159" s="199"/>
      <c r="AN159" s="201"/>
      <c r="AO159" s="142"/>
    </row>
    <row r="160" s="207" customFormat="1" ht="18.75" customHeight="1">
      <c r="A160" s="188">
        <v>174</v>
      </c>
      <c r="B160" s="189" t="s">
        <v>637</v>
      </c>
      <c r="C160" s="190" t="str">
        <f>IFERROR(VLOOKUP(B160,REFERENSI!$C$6:$D$15,2,FALSE)," ")</f>
        <v>05</v>
      </c>
      <c r="D160" s="191">
        <v>13</v>
      </c>
      <c r="E160" s="189" t="s">
        <v>76</v>
      </c>
      <c r="F160" s="190" t="str">
        <f>IFERROR(VLOOKUP(E160,REFERENSI!$F$5:$G$6,2,FALSE)," ")</f>
        <v>01</v>
      </c>
      <c r="G160" s="189" t="s">
        <v>815</v>
      </c>
      <c r="H160" s="192" t="str">
        <f t="shared" si="29"/>
        <v xml:space="preserve">19960102  202107 05 01 13</v>
      </c>
      <c r="I160" s="189" t="s">
        <v>347</v>
      </c>
      <c r="J160" s="193" t="s">
        <v>343</v>
      </c>
      <c r="K160" s="193" t="s">
        <v>325</v>
      </c>
      <c r="L160" s="193">
        <v>1996</v>
      </c>
      <c r="M160" s="194" t="str">
        <f t="shared" si="28"/>
        <v>19960102</v>
      </c>
      <c r="N160" s="193" t="s">
        <v>409</v>
      </c>
      <c r="O160" s="193" t="s">
        <v>349</v>
      </c>
      <c r="P160" s="195">
        <v>2021</v>
      </c>
      <c r="Q160" s="193" t="s">
        <v>409</v>
      </c>
      <c r="R160" s="193" t="s">
        <v>349</v>
      </c>
      <c r="S160" s="195">
        <v>2021</v>
      </c>
      <c r="T160" s="188">
        <f t="shared" si="26"/>
        <v>4</v>
      </c>
      <c r="U160" s="188">
        <f t="shared" si="27"/>
        <v>4</v>
      </c>
      <c r="V160" s="188">
        <f t="shared" si="24"/>
        <v>4</v>
      </c>
      <c r="W160" s="188">
        <f t="shared" si="25"/>
        <v>4</v>
      </c>
      <c r="X160" s="195" t="s">
        <v>357</v>
      </c>
      <c r="Y160" s="196" t="s">
        <v>816</v>
      </c>
      <c r="Z160" s="197"/>
      <c r="AA160" s="195"/>
      <c r="AB160" s="195"/>
      <c r="AC160" s="188"/>
      <c r="AD160" s="195"/>
      <c r="AE160" s="189"/>
      <c r="AF160" s="195"/>
      <c r="AG160" s="195"/>
      <c r="AH160" s="208"/>
      <c r="AI160" s="198"/>
      <c r="AJ160" s="195"/>
      <c r="AK160" s="195"/>
      <c r="AL160" s="199"/>
      <c r="AM160" s="199"/>
      <c r="AN160" s="201"/>
      <c r="AO160" s="142"/>
    </row>
    <row r="161" s="207" customFormat="1" ht="18.75" customHeight="1">
      <c r="A161" s="188">
        <v>175</v>
      </c>
      <c r="B161" s="189" t="s">
        <v>637</v>
      </c>
      <c r="C161" s="190" t="str">
        <f>IFERROR(VLOOKUP(B161,REFERENSI!$C$6:$D$15,2,FALSE)," ")</f>
        <v>05</v>
      </c>
      <c r="D161" s="191">
        <v>12</v>
      </c>
      <c r="E161" s="189" t="s">
        <v>76</v>
      </c>
      <c r="F161" s="190" t="str">
        <f>IFERROR(VLOOKUP(E161,REFERENSI!$F$5:$G$6,2,FALSE)," ")</f>
        <v>01</v>
      </c>
      <c r="G161" s="189" t="s">
        <v>817</v>
      </c>
      <c r="H161" s="192" t="str">
        <f t="shared" si="29"/>
        <v xml:space="preserve">19960425  202107 05 01 12</v>
      </c>
      <c r="I161" s="189" t="s">
        <v>347</v>
      </c>
      <c r="J161" s="193" t="s">
        <v>467</v>
      </c>
      <c r="K161" s="193" t="s">
        <v>348</v>
      </c>
      <c r="L161" s="193">
        <v>1996</v>
      </c>
      <c r="M161" s="194" t="str">
        <f t="shared" si="28"/>
        <v>19960425</v>
      </c>
      <c r="N161" s="193" t="s">
        <v>409</v>
      </c>
      <c r="O161" s="193" t="s">
        <v>349</v>
      </c>
      <c r="P161" s="195">
        <v>2021</v>
      </c>
      <c r="Q161" s="193" t="s">
        <v>409</v>
      </c>
      <c r="R161" s="193" t="s">
        <v>349</v>
      </c>
      <c r="S161" s="195">
        <v>2021</v>
      </c>
      <c r="T161" s="188">
        <f t="shared" si="26"/>
        <v>4</v>
      </c>
      <c r="U161" s="188">
        <f t="shared" si="27"/>
        <v>4</v>
      </c>
      <c r="V161" s="188">
        <f t="shared" si="24"/>
        <v>4</v>
      </c>
      <c r="W161" s="188">
        <f t="shared" si="25"/>
        <v>4</v>
      </c>
      <c r="X161" s="195" t="s">
        <v>357</v>
      </c>
      <c r="Y161" s="196" t="s">
        <v>536</v>
      </c>
      <c r="Z161" s="197"/>
      <c r="AA161" s="195"/>
      <c r="AB161" s="195"/>
      <c r="AC161" s="188"/>
      <c r="AD161" s="195"/>
      <c r="AE161" s="189"/>
      <c r="AF161" s="195"/>
      <c r="AG161" s="195"/>
      <c r="AH161" s="208"/>
      <c r="AI161" s="198"/>
      <c r="AJ161" s="195"/>
      <c r="AK161" s="195"/>
      <c r="AL161" s="199"/>
      <c r="AM161" s="199"/>
      <c r="AN161" s="201"/>
      <c r="AO161" s="142"/>
    </row>
    <row r="162" s="207" customFormat="1" ht="18.75" customHeight="1">
      <c r="A162" s="188">
        <v>176</v>
      </c>
      <c r="B162" s="189" t="s">
        <v>637</v>
      </c>
      <c r="C162" s="190" t="str">
        <f>IFERROR(VLOOKUP(B162,REFERENSI!$C$6:$D$15,2,FALSE)," ")</f>
        <v>05</v>
      </c>
      <c r="D162" s="191">
        <v>12</v>
      </c>
      <c r="E162" s="189" t="s">
        <v>76</v>
      </c>
      <c r="F162" s="190" t="str">
        <f>IFERROR(VLOOKUP(E162,REFERENSI!$F$5:$G$6,2,FALSE)," ")</f>
        <v>01</v>
      </c>
      <c r="G162" s="189" t="s">
        <v>818</v>
      </c>
      <c r="H162" s="192" t="str">
        <f t="shared" si="29"/>
        <v xml:space="preserve">19961004  202107 05 01 12</v>
      </c>
      <c r="I162" s="189" t="s">
        <v>347</v>
      </c>
      <c r="J162" s="193" t="s">
        <v>348</v>
      </c>
      <c r="K162" s="193" t="s">
        <v>400</v>
      </c>
      <c r="L162" s="193">
        <v>1996</v>
      </c>
      <c r="M162" s="194" t="str">
        <f t="shared" si="28"/>
        <v>19961004</v>
      </c>
      <c r="N162" s="193" t="s">
        <v>409</v>
      </c>
      <c r="O162" s="193" t="s">
        <v>349</v>
      </c>
      <c r="P162" s="195">
        <v>2021</v>
      </c>
      <c r="Q162" s="193" t="s">
        <v>409</v>
      </c>
      <c r="R162" s="193" t="s">
        <v>349</v>
      </c>
      <c r="S162" s="195">
        <v>2021</v>
      </c>
      <c r="T162" s="188">
        <f t="shared" si="26"/>
        <v>4</v>
      </c>
      <c r="U162" s="188">
        <f t="shared" si="27"/>
        <v>4</v>
      </c>
      <c r="V162" s="188">
        <f t="shared" si="24"/>
        <v>4</v>
      </c>
      <c r="W162" s="188">
        <f t="shared" si="25"/>
        <v>4</v>
      </c>
      <c r="X162" s="195" t="s">
        <v>357</v>
      </c>
      <c r="Y162" s="196" t="s">
        <v>595</v>
      </c>
      <c r="Z162" s="197"/>
      <c r="AA162" s="195"/>
      <c r="AB162" s="195"/>
      <c r="AC162" s="188"/>
      <c r="AD162" s="195"/>
      <c r="AE162" s="189"/>
      <c r="AF162" s="195"/>
      <c r="AG162" s="195"/>
      <c r="AH162" s="208"/>
      <c r="AI162" s="198"/>
      <c r="AJ162" s="195"/>
      <c r="AK162" s="195"/>
      <c r="AL162" s="199"/>
      <c r="AM162" s="199"/>
      <c r="AN162" s="201"/>
      <c r="AO162" s="142"/>
    </row>
    <row r="163" s="207" customFormat="1" ht="18.5" customHeight="1">
      <c r="A163" s="188">
        <v>177</v>
      </c>
      <c r="B163" s="189" t="s">
        <v>395</v>
      </c>
      <c r="C163" s="190" t="str">
        <f>IFERROR(VLOOKUP(B163,REFERENSI!$C$6:$D$15,2,FALSE)," ")</f>
        <v>03</v>
      </c>
      <c r="D163" s="191">
        <v>18</v>
      </c>
      <c r="E163" s="189" t="s">
        <v>76</v>
      </c>
      <c r="F163" s="190" t="str">
        <f>IFERROR(VLOOKUP(E163,REFERENSI!$F$5:$G$6,2,FALSE)," ")</f>
        <v>01</v>
      </c>
      <c r="G163" s="189" t="s">
        <v>819</v>
      </c>
      <c r="H163" s="192" t="str">
        <f t="shared" si="29"/>
        <v xml:space="preserve">19960801  202101 03 01 18</v>
      </c>
      <c r="I163" s="189" t="s">
        <v>347</v>
      </c>
      <c r="J163" s="193" t="s">
        <v>325</v>
      </c>
      <c r="K163" s="193" t="s">
        <v>385</v>
      </c>
      <c r="L163" s="193">
        <v>1996</v>
      </c>
      <c r="M163" s="194" t="str">
        <f t="shared" si="28"/>
        <v>19960801</v>
      </c>
      <c r="N163" s="193" t="s">
        <v>325</v>
      </c>
      <c r="O163" s="193" t="s">
        <v>325</v>
      </c>
      <c r="P163" s="195">
        <v>2021</v>
      </c>
      <c r="Q163" s="193" t="s">
        <v>325</v>
      </c>
      <c r="R163" s="193" t="s">
        <v>325</v>
      </c>
      <c r="S163" s="195">
        <v>2021</v>
      </c>
      <c r="T163" s="188">
        <f t="shared" si="26"/>
        <v>4</v>
      </c>
      <c r="U163" s="188">
        <f t="shared" si="27"/>
        <v>4</v>
      </c>
      <c r="V163" s="188">
        <f t="shared" si="24"/>
        <v>4</v>
      </c>
      <c r="W163" s="188">
        <f t="shared" si="25"/>
        <v>4</v>
      </c>
      <c r="X163" s="195" t="s">
        <v>357</v>
      </c>
      <c r="Y163" s="196" t="s">
        <v>546</v>
      </c>
      <c r="Z163" s="197"/>
      <c r="AA163" s="195"/>
      <c r="AB163" s="195"/>
      <c r="AC163" s="188"/>
      <c r="AD163" s="195"/>
      <c r="AE163" s="189"/>
      <c r="AF163" s="195"/>
      <c r="AG163" s="195"/>
      <c r="AH163" s="208"/>
      <c r="AI163" s="198"/>
      <c r="AJ163" s="195"/>
      <c r="AK163" s="195"/>
      <c r="AL163" s="199"/>
      <c r="AM163" s="199"/>
      <c r="AN163" s="201"/>
      <c r="AO163" s="142"/>
    </row>
    <row r="164" s="207" customFormat="1" ht="18.5" customHeight="1">
      <c r="A164" s="188">
        <v>178</v>
      </c>
      <c r="B164" s="189" t="s">
        <v>416</v>
      </c>
      <c r="C164" s="190" t="str">
        <f>IFERROR(VLOOKUP(B164,REFERENSI!$C$6:$D$15,2,FALSE)," ")</f>
        <v>04</v>
      </c>
      <c r="D164" s="191" t="s">
        <v>354</v>
      </c>
      <c r="E164" s="189" t="s">
        <v>76</v>
      </c>
      <c r="F164" s="190" t="str">
        <f>IFERROR(VLOOKUP(E164,REFERENSI!$F$5:$G$6,2,FALSE)," ")</f>
        <v>01</v>
      </c>
      <c r="G164" s="189" t="s">
        <v>820</v>
      </c>
      <c r="H164" s="192" t="str">
        <f t="shared" si="29"/>
        <v xml:space="preserve">19961108  202201 04 01 03</v>
      </c>
      <c r="I164" s="189" t="s">
        <v>347</v>
      </c>
      <c r="J164" s="193" t="s">
        <v>385</v>
      </c>
      <c r="K164" s="193" t="s">
        <v>404</v>
      </c>
      <c r="L164" s="193">
        <v>1996</v>
      </c>
      <c r="M164" s="194" t="str">
        <f t="shared" si="28"/>
        <v>19961108</v>
      </c>
      <c r="N164" s="193" t="s">
        <v>354</v>
      </c>
      <c r="O164" s="193" t="s">
        <v>325</v>
      </c>
      <c r="P164" s="195">
        <v>2022</v>
      </c>
      <c r="Q164" s="193" t="s">
        <v>354</v>
      </c>
      <c r="R164" s="193" t="s">
        <v>325</v>
      </c>
      <c r="S164" s="195">
        <v>2022</v>
      </c>
      <c r="T164" s="188">
        <f t="shared" si="26"/>
        <v>3</v>
      </c>
      <c r="U164" s="188">
        <f t="shared" si="27"/>
        <v>3</v>
      </c>
      <c r="V164" s="188">
        <f t="shared" ref="V164:V180" si="30">IF(U164=$E$4," ",U164)</f>
        <v>3</v>
      </c>
      <c r="W164" s="188">
        <f t="shared" ref="W164:W180" si="31">IF(T164=$E$4," ",T164)</f>
        <v>3</v>
      </c>
      <c r="X164" s="195" t="s">
        <v>357</v>
      </c>
      <c r="Y164" s="196" t="s">
        <v>821</v>
      </c>
      <c r="Z164" s="197"/>
      <c r="AA164" s="195"/>
      <c r="AB164" s="195"/>
      <c r="AC164" s="188"/>
      <c r="AD164" s="195"/>
      <c r="AE164" s="189"/>
      <c r="AF164" s="195"/>
      <c r="AG164" s="195"/>
      <c r="AH164" s="208"/>
      <c r="AI164" s="198"/>
      <c r="AJ164" s="195"/>
      <c r="AK164" s="195"/>
      <c r="AL164" s="199"/>
      <c r="AM164" s="199"/>
      <c r="AN164" s="201"/>
      <c r="AO164" s="142"/>
    </row>
    <row r="165" s="207" customFormat="1" ht="18.5" customHeight="1">
      <c r="A165" s="188">
        <v>179</v>
      </c>
      <c r="B165" s="189" t="s">
        <v>416</v>
      </c>
      <c r="C165" s="190" t="str">
        <f>IFERROR(VLOOKUP(B165,REFERENSI!$C$6:$D$15,2,FALSE)," ")</f>
        <v>04</v>
      </c>
      <c r="D165" s="191">
        <v>18</v>
      </c>
      <c r="E165" s="189" t="s">
        <v>76</v>
      </c>
      <c r="F165" s="190" t="str">
        <f>IFERROR(VLOOKUP(E165,REFERENSI!$F$5:$G$6,2,FALSE)," ")</f>
        <v>01</v>
      </c>
      <c r="G165" s="189" t="s">
        <v>822</v>
      </c>
      <c r="H165" s="192" t="str">
        <f t="shared" si="29"/>
        <v xml:space="preserve">20000406  202207 04 01 18</v>
      </c>
      <c r="I165" s="189" t="s">
        <v>347</v>
      </c>
      <c r="J165" s="193" t="s">
        <v>373</v>
      </c>
      <c r="K165" s="193" t="s">
        <v>348</v>
      </c>
      <c r="L165" s="193">
        <v>2000</v>
      </c>
      <c r="M165" s="194" t="str">
        <f t="shared" si="28"/>
        <v>20000406</v>
      </c>
      <c r="N165" s="193" t="s">
        <v>434</v>
      </c>
      <c r="O165" s="193" t="s">
        <v>349</v>
      </c>
      <c r="P165" s="195">
        <v>2022</v>
      </c>
      <c r="Q165" s="193" t="s">
        <v>434</v>
      </c>
      <c r="R165" s="193" t="s">
        <v>349</v>
      </c>
      <c r="S165" s="195">
        <v>2022</v>
      </c>
      <c r="T165" s="188">
        <f t="shared" si="26"/>
        <v>3</v>
      </c>
      <c r="U165" s="188">
        <f t="shared" si="27"/>
        <v>3</v>
      </c>
      <c r="V165" s="188">
        <f t="shared" si="30"/>
        <v>3</v>
      </c>
      <c r="W165" s="188">
        <f t="shared" si="31"/>
        <v>3</v>
      </c>
      <c r="X165" s="195" t="s">
        <v>357</v>
      </c>
      <c r="Y165" s="196" t="s">
        <v>679</v>
      </c>
      <c r="Z165" s="197"/>
      <c r="AA165" s="195"/>
      <c r="AB165" s="195"/>
      <c r="AC165" s="188"/>
      <c r="AD165" s="195"/>
      <c r="AE165" s="189"/>
      <c r="AF165" s="195"/>
      <c r="AG165" s="195"/>
      <c r="AH165" s="208"/>
      <c r="AI165" s="198"/>
      <c r="AJ165" s="195"/>
      <c r="AK165" s="195"/>
      <c r="AL165" s="199"/>
      <c r="AM165" s="199"/>
      <c r="AN165" s="201"/>
      <c r="AO165" s="142"/>
    </row>
    <row r="166" s="207" customFormat="1" ht="18.75" customHeight="1">
      <c r="A166" s="188">
        <v>180</v>
      </c>
      <c r="B166" s="189" t="s">
        <v>483</v>
      </c>
      <c r="C166" s="190" t="str">
        <f>IFERROR(VLOOKUP(B166,REFERENSI!$C$6:$D$15,2,FALSE)," ")</f>
        <v>07</v>
      </c>
      <c r="D166" s="191">
        <v>18</v>
      </c>
      <c r="E166" s="189" t="s">
        <v>76</v>
      </c>
      <c r="F166" s="190" t="str">
        <f>IFERROR(VLOOKUP(E166,REFERENSI!$F$5:$G$6,2,FALSE)," ")</f>
        <v>01</v>
      </c>
      <c r="G166" s="189" t="s">
        <v>823</v>
      </c>
      <c r="H166" s="192" t="str">
        <f t="shared" si="29"/>
        <v xml:space="preserve">19980117  202207 07 01 18</v>
      </c>
      <c r="I166" s="189" t="s">
        <v>347</v>
      </c>
      <c r="J166" s="193" t="s">
        <v>432</v>
      </c>
      <c r="K166" s="193" t="s">
        <v>325</v>
      </c>
      <c r="L166" s="193">
        <v>1998</v>
      </c>
      <c r="M166" s="194" t="str">
        <f t="shared" si="28"/>
        <v>19980117</v>
      </c>
      <c r="N166" s="193" t="s">
        <v>434</v>
      </c>
      <c r="O166" s="193" t="s">
        <v>349</v>
      </c>
      <c r="P166" s="195">
        <v>2022</v>
      </c>
      <c r="Q166" s="193" t="s">
        <v>434</v>
      </c>
      <c r="R166" s="193" t="s">
        <v>349</v>
      </c>
      <c r="S166" s="195">
        <v>2022</v>
      </c>
      <c r="T166" s="188">
        <f t="shared" si="26"/>
        <v>3</v>
      </c>
      <c r="U166" s="188">
        <f t="shared" si="27"/>
        <v>3</v>
      </c>
      <c r="V166" s="188">
        <f t="shared" si="30"/>
        <v>3</v>
      </c>
      <c r="W166" s="188">
        <f t="shared" si="31"/>
        <v>3</v>
      </c>
      <c r="X166" s="195" t="s">
        <v>357</v>
      </c>
      <c r="Y166" s="196" t="s">
        <v>824</v>
      </c>
      <c r="Z166" s="197"/>
      <c r="AA166" s="195"/>
      <c r="AB166" s="195"/>
      <c r="AC166" s="188"/>
      <c r="AD166" s="195"/>
      <c r="AE166" s="189"/>
      <c r="AF166" s="195"/>
      <c r="AG166" s="195"/>
      <c r="AH166" s="208"/>
      <c r="AI166" s="198"/>
      <c r="AJ166" s="195"/>
      <c r="AK166" s="195"/>
      <c r="AL166" s="199"/>
      <c r="AM166" s="199"/>
      <c r="AN166" s="201"/>
      <c r="AO166" s="142"/>
    </row>
    <row r="167" s="207" customFormat="1" ht="18.75" customHeight="1">
      <c r="A167" s="188">
        <v>181</v>
      </c>
      <c r="B167" s="189" t="s">
        <v>637</v>
      </c>
      <c r="C167" s="190" t="str">
        <f>IFERROR(VLOOKUP(B167,REFERENSI!$C$6:$D$15,2,FALSE)," ")</f>
        <v>05</v>
      </c>
      <c r="D167" s="191">
        <v>17</v>
      </c>
      <c r="E167" s="189" t="s">
        <v>76</v>
      </c>
      <c r="F167" s="190" t="str">
        <f>IFERROR(VLOOKUP(E167,REFERENSI!$F$5:$G$6,2,FALSE)," ")</f>
        <v>01</v>
      </c>
      <c r="G167" s="189" t="s">
        <v>825</v>
      </c>
      <c r="H167" s="192" t="str">
        <f t="shared" si="29"/>
        <v xml:space="preserve">19961106  202207 05 01 17</v>
      </c>
      <c r="I167" s="189" t="s">
        <v>347</v>
      </c>
      <c r="J167" s="193" t="s">
        <v>373</v>
      </c>
      <c r="K167" s="193" t="s">
        <v>404</v>
      </c>
      <c r="L167" s="193">
        <v>1996</v>
      </c>
      <c r="M167" s="194" t="str">
        <f t="shared" si="28"/>
        <v>19961106</v>
      </c>
      <c r="N167" s="193" t="s">
        <v>432</v>
      </c>
      <c r="O167" s="193" t="s">
        <v>349</v>
      </c>
      <c r="P167" s="195">
        <v>2022</v>
      </c>
      <c r="Q167" s="193" t="s">
        <v>432</v>
      </c>
      <c r="R167" s="193" t="s">
        <v>349</v>
      </c>
      <c r="S167" s="195">
        <v>2022</v>
      </c>
      <c r="T167" s="188">
        <f t="shared" si="26"/>
        <v>3</v>
      </c>
      <c r="U167" s="188">
        <f t="shared" si="27"/>
        <v>3</v>
      </c>
      <c r="V167" s="188">
        <f t="shared" si="30"/>
        <v>3</v>
      </c>
      <c r="W167" s="188">
        <f t="shared" si="31"/>
        <v>3</v>
      </c>
      <c r="X167" s="195" t="s">
        <v>357</v>
      </c>
      <c r="Y167" s="196" t="s">
        <v>826</v>
      </c>
      <c r="Z167" s="197"/>
      <c r="AA167" s="195"/>
      <c r="AB167" s="195"/>
      <c r="AC167" s="188"/>
      <c r="AD167" s="195"/>
      <c r="AE167" s="189"/>
      <c r="AF167" s="195"/>
      <c r="AG167" s="195"/>
      <c r="AH167" s="208"/>
      <c r="AI167" s="198"/>
      <c r="AJ167" s="195"/>
      <c r="AK167" s="195"/>
      <c r="AL167" s="199"/>
      <c r="AM167" s="199"/>
      <c r="AN167" s="201"/>
      <c r="AO167" s="142"/>
    </row>
    <row r="168" s="207" customFormat="1" ht="18.75" customHeight="1">
      <c r="A168" s="188">
        <v>182</v>
      </c>
      <c r="B168" s="189" t="s">
        <v>637</v>
      </c>
      <c r="C168" s="190" t="str">
        <f>IFERROR(VLOOKUP(B168,REFERENSI!$C$6:$D$15,2,FALSE)," ")</f>
        <v>05</v>
      </c>
      <c r="D168" s="191">
        <v>17</v>
      </c>
      <c r="E168" s="189" t="s">
        <v>387</v>
      </c>
      <c r="F168" s="190" t="str">
        <f>IFERROR(VLOOKUP(E168,REFERENSI!$F$5:$G$6,2,FALSE)," ")</f>
        <v>02</v>
      </c>
      <c r="G168" s="189" t="s">
        <v>827</v>
      </c>
      <c r="H168" s="192" t="str">
        <f t="shared" si="29"/>
        <v xml:space="preserve">19981219  202207 05 02 17</v>
      </c>
      <c r="I168" s="189" t="s">
        <v>828</v>
      </c>
      <c r="J168" s="193" t="s">
        <v>437</v>
      </c>
      <c r="K168" s="193" t="s">
        <v>409</v>
      </c>
      <c r="L168" s="193">
        <v>1998</v>
      </c>
      <c r="M168" s="194" t="str">
        <f t="shared" si="28"/>
        <v>19981219</v>
      </c>
      <c r="N168" s="193" t="s">
        <v>432</v>
      </c>
      <c r="O168" s="193" t="s">
        <v>349</v>
      </c>
      <c r="P168" s="195">
        <v>2022</v>
      </c>
      <c r="Q168" s="193" t="s">
        <v>432</v>
      </c>
      <c r="R168" s="193" t="s">
        <v>349</v>
      </c>
      <c r="S168" s="195">
        <v>2022</v>
      </c>
      <c r="T168" s="188">
        <f t="shared" si="26"/>
        <v>3</v>
      </c>
      <c r="U168" s="188">
        <f t="shared" si="27"/>
        <v>3</v>
      </c>
      <c r="V168" s="188">
        <f t="shared" si="30"/>
        <v>3</v>
      </c>
      <c r="W168" s="188">
        <f t="shared" si="31"/>
        <v>3</v>
      </c>
      <c r="X168" s="195" t="s">
        <v>357</v>
      </c>
      <c r="Y168" s="196" t="s">
        <v>829</v>
      </c>
      <c r="Z168" s="197"/>
      <c r="AA168" s="195"/>
      <c r="AB168" s="195"/>
      <c r="AC168" s="188"/>
      <c r="AD168" s="195"/>
      <c r="AE168" s="189"/>
      <c r="AF168" s="195"/>
      <c r="AG168" s="195"/>
      <c r="AH168" s="208"/>
      <c r="AI168" s="198"/>
      <c r="AJ168" s="195"/>
      <c r="AK168" s="195"/>
      <c r="AL168" s="199"/>
      <c r="AM168" s="199"/>
      <c r="AN168" s="201"/>
      <c r="AO168" s="142"/>
    </row>
    <row r="169" s="207" customFormat="1" ht="18.75" customHeight="1">
      <c r="A169" s="188">
        <v>183</v>
      </c>
      <c r="B169" s="189" t="s">
        <v>395</v>
      </c>
      <c r="C169" s="190" t="str">
        <f>IFERROR(VLOOKUP(B169,REFERENSI!$C$6:$D$15,2,FALSE)," ")</f>
        <v>03</v>
      </c>
      <c r="D169" s="191" t="s">
        <v>368</v>
      </c>
      <c r="E169" s="189" t="s">
        <v>76</v>
      </c>
      <c r="F169" s="190" t="str">
        <f>IFERROR(VLOOKUP(E169,REFERENSI!$F$5:$G$6,2,FALSE)," ")</f>
        <v>01</v>
      </c>
      <c r="G169" s="189" t="s">
        <v>830</v>
      </c>
      <c r="H169" s="192" t="str">
        <f t="shared" si="29"/>
        <v xml:space="preserve">19990204  202207 03 01 05</v>
      </c>
      <c r="I169" s="189" t="s">
        <v>347</v>
      </c>
      <c r="J169" s="193" t="s">
        <v>348</v>
      </c>
      <c r="K169" s="193" t="s">
        <v>343</v>
      </c>
      <c r="L169" s="193">
        <v>1999</v>
      </c>
      <c r="M169" s="194" t="str">
        <f t="shared" si="28"/>
        <v>19990204</v>
      </c>
      <c r="N169" s="193" t="s">
        <v>368</v>
      </c>
      <c r="O169" s="193" t="s">
        <v>349</v>
      </c>
      <c r="P169" s="195">
        <v>2022</v>
      </c>
      <c r="Q169" s="193" t="s">
        <v>368</v>
      </c>
      <c r="R169" s="193" t="s">
        <v>349</v>
      </c>
      <c r="S169" s="195">
        <v>2022</v>
      </c>
      <c r="T169" s="188">
        <f t="shared" si="26"/>
        <v>3</v>
      </c>
      <c r="U169" s="188">
        <f t="shared" si="27"/>
        <v>3</v>
      </c>
      <c r="V169" s="188">
        <f t="shared" si="30"/>
        <v>3</v>
      </c>
      <c r="W169" s="188">
        <f t="shared" si="31"/>
        <v>3</v>
      </c>
      <c r="X169" s="195" t="s">
        <v>357</v>
      </c>
      <c r="Y169" s="196" t="s">
        <v>595</v>
      </c>
      <c r="Z169" s="197"/>
      <c r="AA169" s="195"/>
      <c r="AB169" s="195"/>
      <c r="AC169" s="188"/>
      <c r="AD169" s="195"/>
      <c r="AE169" s="189"/>
      <c r="AF169" s="195"/>
      <c r="AG169" s="195"/>
      <c r="AH169" s="208"/>
      <c r="AI169" s="198"/>
      <c r="AJ169" s="195"/>
      <c r="AK169" s="195"/>
      <c r="AL169" s="199"/>
      <c r="AM169" s="199"/>
      <c r="AN169" s="201"/>
      <c r="AO169" s="142"/>
    </row>
    <row r="170" s="207" customFormat="1" ht="18.75" customHeight="1">
      <c r="A170" s="188">
        <v>184</v>
      </c>
      <c r="B170" s="189" t="s">
        <v>395</v>
      </c>
      <c r="C170" s="190" t="str">
        <f>IFERROR(VLOOKUP(B170,REFERENSI!$C$6:$D$15,2,FALSE)," ")</f>
        <v>03</v>
      </c>
      <c r="D170" s="191" t="s">
        <v>368</v>
      </c>
      <c r="E170" s="189" t="s">
        <v>76</v>
      </c>
      <c r="F170" s="190" t="str">
        <f>IFERROR(VLOOKUP(E170,REFERENSI!$F$5:$G$6,2,FALSE)," ")</f>
        <v>01</v>
      </c>
      <c r="G170" s="189" t="s">
        <v>831</v>
      </c>
      <c r="H170" s="192" t="str">
        <f t="shared" si="29"/>
        <v xml:space="preserve">19891016  202301 03 01 05</v>
      </c>
      <c r="I170" s="189" t="s">
        <v>832</v>
      </c>
      <c r="J170" s="193" t="s">
        <v>427</v>
      </c>
      <c r="K170" s="193" t="s">
        <v>400</v>
      </c>
      <c r="L170" s="193">
        <v>1989</v>
      </c>
      <c r="M170" s="194" t="str">
        <f t="shared" si="28"/>
        <v>19891016</v>
      </c>
      <c r="N170" s="193" t="s">
        <v>368</v>
      </c>
      <c r="O170" s="193" t="s">
        <v>325</v>
      </c>
      <c r="P170" s="195">
        <v>2023</v>
      </c>
      <c r="Q170" s="193" t="s">
        <v>368</v>
      </c>
      <c r="R170" s="193" t="s">
        <v>325</v>
      </c>
      <c r="S170" s="195">
        <v>2023</v>
      </c>
      <c r="T170" s="188">
        <f t="shared" si="26"/>
        <v>2</v>
      </c>
      <c r="U170" s="188">
        <f t="shared" si="27"/>
        <v>2</v>
      </c>
      <c r="V170" s="188">
        <f t="shared" si="30"/>
        <v>2</v>
      </c>
      <c r="W170" s="188">
        <f t="shared" si="31"/>
        <v>2</v>
      </c>
      <c r="X170" s="195" t="s">
        <v>357</v>
      </c>
      <c r="Y170" s="196" t="s">
        <v>833</v>
      </c>
      <c r="Z170" s="197"/>
      <c r="AA170" s="195"/>
      <c r="AB170" s="195"/>
      <c r="AC170" s="188"/>
      <c r="AD170" s="195"/>
      <c r="AE170" s="189"/>
      <c r="AF170" s="195"/>
      <c r="AG170" s="195"/>
      <c r="AH170" s="208"/>
      <c r="AI170" s="198"/>
      <c r="AJ170" s="195"/>
      <c r="AK170" s="195"/>
      <c r="AL170" s="199"/>
      <c r="AM170" s="199"/>
      <c r="AN170" s="201"/>
      <c r="AO170" s="142"/>
    </row>
    <row r="171" s="207" customFormat="1" ht="18.75" customHeight="1">
      <c r="A171" s="188">
        <v>185</v>
      </c>
      <c r="B171" s="189" t="s">
        <v>762</v>
      </c>
      <c r="C171" s="190" t="str">
        <f>IFERROR(VLOOKUP(B171,REFERENSI!$C$6:$D$15,2,FALSE)," ")</f>
        <v>08</v>
      </c>
      <c r="D171" s="191" t="s">
        <v>349</v>
      </c>
      <c r="E171" s="189" t="s">
        <v>76</v>
      </c>
      <c r="F171" s="190" t="str">
        <f>IFERROR(VLOOKUP(E171,REFERENSI!$F$5:$G$6,2,FALSE)," ")</f>
        <v>01</v>
      </c>
      <c r="G171" s="189" t="s">
        <v>834</v>
      </c>
      <c r="H171" s="192" t="str">
        <f t="shared" si="29"/>
        <v xml:space="preserve">19801230  201907 08 01 07</v>
      </c>
      <c r="I171" s="189" t="s">
        <v>835</v>
      </c>
      <c r="J171" s="193" t="s">
        <v>494</v>
      </c>
      <c r="K171" s="193" t="s">
        <v>409</v>
      </c>
      <c r="L171" s="193">
        <v>1980</v>
      </c>
      <c r="M171" s="194" t="str">
        <f t="shared" si="28"/>
        <v>19801230</v>
      </c>
      <c r="N171" s="193" t="s">
        <v>349</v>
      </c>
      <c r="O171" s="193" t="s">
        <v>349</v>
      </c>
      <c r="P171" s="195">
        <v>2019</v>
      </c>
      <c r="Q171" s="193" t="s">
        <v>349</v>
      </c>
      <c r="R171" s="193" t="s">
        <v>349</v>
      </c>
      <c r="S171" s="195">
        <v>2019</v>
      </c>
      <c r="T171" s="188">
        <f t="shared" ref="T171:T180" si="32">$E$4-S171</f>
        <v>6</v>
      </c>
      <c r="U171" s="188">
        <f t="shared" ref="U171:U180" si="33">$E$4-P171</f>
        <v>6</v>
      </c>
      <c r="V171" s="188">
        <f t="shared" si="30"/>
        <v>6</v>
      </c>
      <c r="W171" s="188">
        <f t="shared" si="31"/>
        <v>6</v>
      </c>
      <c r="X171" s="195" t="s">
        <v>389</v>
      </c>
      <c r="Y171" s="196" t="s">
        <v>326</v>
      </c>
      <c r="Z171" s="197"/>
      <c r="AA171" s="195"/>
      <c r="AB171" s="195"/>
      <c r="AC171" s="188"/>
      <c r="AD171" s="195"/>
      <c r="AE171" s="189"/>
      <c r="AF171" s="195"/>
      <c r="AG171" s="195"/>
      <c r="AH171" s="208"/>
      <c r="AI171" s="198"/>
      <c r="AJ171" s="195"/>
      <c r="AK171" s="195"/>
      <c r="AL171" s="199"/>
      <c r="AM171" s="199"/>
      <c r="AN171" s="201"/>
      <c r="AO171" s="142"/>
    </row>
    <row r="172" s="207" customFormat="1" ht="18.75" customHeight="1">
      <c r="A172" s="188">
        <v>186</v>
      </c>
      <c r="B172" s="189" t="s">
        <v>416</v>
      </c>
      <c r="C172" s="190" t="str">
        <f>IFERROR(VLOOKUP(B172,REFERENSI!$C$6:$D$15,2,FALSE)," ")</f>
        <v>04</v>
      </c>
      <c r="D172" s="191" t="s">
        <v>349</v>
      </c>
      <c r="E172" s="189" t="s">
        <v>76</v>
      </c>
      <c r="F172" s="190" t="str">
        <f>IFERROR(VLOOKUP(E172,REFERENSI!$F$5:$G$6,2,FALSE)," ")</f>
        <v>01</v>
      </c>
      <c r="G172" s="189" t="s">
        <v>836</v>
      </c>
      <c r="H172" s="192" t="str">
        <f t="shared" si="29"/>
        <v xml:space="preserve">19810807  201907 04 01 07</v>
      </c>
      <c r="I172" s="189" t="s">
        <v>347</v>
      </c>
      <c r="J172" s="193" t="s">
        <v>349</v>
      </c>
      <c r="K172" s="193" t="s">
        <v>385</v>
      </c>
      <c r="L172" s="193">
        <v>1981</v>
      </c>
      <c r="M172" s="194" t="str">
        <f t="shared" si="28"/>
        <v>19810807</v>
      </c>
      <c r="N172" s="193" t="s">
        <v>349</v>
      </c>
      <c r="O172" s="193" t="s">
        <v>349</v>
      </c>
      <c r="P172" s="195">
        <v>2019</v>
      </c>
      <c r="Q172" s="193" t="s">
        <v>349</v>
      </c>
      <c r="R172" s="193" t="s">
        <v>349</v>
      </c>
      <c r="S172" s="195">
        <v>2019</v>
      </c>
      <c r="T172" s="188">
        <f t="shared" si="32"/>
        <v>6</v>
      </c>
      <c r="U172" s="188">
        <f t="shared" si="33"/>
        <v>6</v>
      </c>
      <c r="V172" s="188">
        <f t="shared" si="30"/>
        <v>6</v>
      </c>
      <c r="W172" s="188">
        <f t="shared" si="31"/>
        <v>6</v>
      </c>
      <c r="X172" s="195" t="s">
        <v>389</v>
      </c>
      <c r="Y172" s="196" t="s">
        <v>326</v>
      </c>
      <c r="Z172" s="197"/>
      <c r="AA172" s="195"/>
      <c r="AB172" s="195"/>
      <c r="AC172" s="188"/>
      <c r="AD172" s="195"/>
      <c r="AE172" s="189"/>
      <c r="AF172" s="195"/>
      <c r="AG172" s="195"/>
      <c r="AH172" s="208"/>
      <c r="AI172" s="198"/>
      <c r="AJ172" s="195"/>
      <c r="AK172" s="195"/>
      <c r="AL172" s="199"/>
      <c r="AM172" s="199"/>
      <c r="AN172" s="201"/>
      <c r="AO172" s="142"/>
    </row>
    <row r="173" s="207" customFormat="1" ht="18.75" customHeight="1">
      <c r="A173" s="188">
        <v>187</v>
      </c>
      <c r="B173" s="189" t="s">
        <v>416</v>
      </c>
      <c r="C173" s="190" t="str">
        <f>IFERROR(VLOOKUP(B173,REFERENSI!$C$6:$D$15,2,FALSE)," ")</f>
        <v>04</v>
      </c>
      <c r="D173" s="191">
        <v>17</v>
      </c>
      <c r="E173" s="189" t="s">
        <v>387</v>
      </c>
      <c r="F173" s="190" t="str">
        <f>IFERROR(VLOOKUP(E173,REFERENSI!$F$5:$G$6,2,FALSE)," ")</f>
        <v>02</v>
      </c>
      <c r="G173" s="189" t="s">
        <v>837</v>
      </c>
      <c r="H173" s="192" t="str">
        <f t="shared" si="29"/>
        <v xml:space="preserve">19981109  202307 04 02 17</v>
      </c>
      <c r="I173" s="189" t="s">
        <v>347</v>
      </c>
      <c r="J173" s="193" t="s">
        <v>393</v>
      </c>
      <c r="K173" s="193" t="s">
        <v>404</v>
      </c>
      <c r="L173" s="193">
        <v>1998</v>
      </c>
      <c r="M173" s="194" t="str">
        <f t="shared" si="28"/>
        <v>19981109</v>
      </c>
      <c r="N173" s="193" t="s">
        <v>432</v>
      </c>
      <c r="O173" s="193" t="s">
        <v>349</v>
      </c>
      <c r="P173" s="195">
        <v>2023</v>
      </c>
      <c r="Q173" s="193" t="s">
        <v>432</v>
      </c>
      <c r="R173" s="193" t="s">
        <v>349</v>
      </c>
      <c r="S173" s="195">
        <v>2023</v>
      </c>
      <c r="T173" s="188">
        <f t="shared" si="32"/>
        <v>2</v>
      </c>
      <c r="U173" s="188">
        <f t="shared" si="33"/>
        <v>2</v>
      </c>
      <c r="V173" s="188">
        <f t="shared" si="30"/>
        <v>2</v>
      </c>
      <c r="W173" s="188">
        <f t="shared" si="31"/>
        <v>2</v>
      </c>
      <c r="X173" s="195" t="s">
        <v>389</v>
      </c>
      <c r="Y173" s="196" t="s">
        <v>838</v>
      </c>
      <c r="Z173" s="197"/>
      <c r="AA173" s="195"/>
      <c r="AB173" s="195"/>
      <c r="AC173" s="188"/>
      <c r="AD173" s="195"/>
      <c r="AE173" s="189"/>
      <c r="AF173" s="195"/>
      <c r="AG173" s="195"/>
      <c r="AH173" s="208"/>
      <c r="AI173" s="198"/>
      <c r="AJ173" s="195"/>
      <c r="AK173" s="195"/>
      <c r="AL173" s="199"/>
      <c r="AM173" s="199"/>
      <c r="AN173" s="201"/>
      <c r="AO173" s="142"/>
    </row>
    <row r="174" s="207" customFormat="1" ht="18.75" customHeight="1">
      <c r="A174" s="188">
        <v>188</v>
      </c>
      <c r="B174" s="189" t="s">
        <v>416</v>
      </c>
      <c r="C174" s="190" t="str">
        <f>IFERROR(VLOOKUP(B174,REFERENSI!$C$6:$D$15,2,FALSE)," ")</f>
        <v>04</v>
      </c>
      <c r="D174" s="191">
        <v>17</v>
      </c>
      <c r="E174" s="189" t="s">
        <v>387</v>
      </c>
      <c r="F174" s="190" t="str">
        <f>IFERROR(VLOOKUP(E174,REFERENSI!$F$5:$G$6,2,FALSE)," ")</f>
        <v>02</v>
      </c>
      <c r="G174" s="189" t="s">
        <v>839</v>
      </c>
      <c r="H174" s="192" t="str">
        <f t="shared" si="29"/>
        <v xml:space="preserve">20030702  202307 04 02 17</v>
      </c>
      <c r="I174" s="189" t="s">
        <v>347</v>
      </c>
      <c r="J174" s="193" t="s">
        <v>343</v>
      </c>
      <c r="K174" s="193" t="s">
        <v>349</v>
      </c>
      <c r="L174" s="193">
        <v>2003</v>
      </c>
      <c r="M174" s="194" t="str">
        <f t="shared" si="28"/>
        <v>20030702</v>
      </c>
      <c r="N174" s="193" t="s">
        <v>432</v>
      </c>
      <c r="O174" s="193" t="s">
        <v>349</v>
      </c>
      <c r="P174" s="195">
        <v>2023</v>
      </c>
      <c r="Q174" s="193" t="s">
        <v>432</v>
      </c>
      <c r="R174" s="193" t="s">
        <v>349</v>
      </c>
      <c r="S174" s="195">
        <v>2023</v>
      </c>
      <c r="T174" s="188">
        <f t="shared" si="32"/>
        <v>2</v>
      </c>
      <c r="U174" s="188">
        <f t="shared" si="33"/>
        <v>2</v>
      </c>
      <c r="V174" s="188">
        <f t="shared" si="30"/>
        <v>2</v>
      </c>
      <c r="W174" s="188">
        <f t="shared" si="31"/>
        <v>2</v>
      </c>
      <c r="X174" s="195" t="s">
        <v>389</v>
      </c>
      <c r="Y174" s="196" t="s">
        <v>469</v>
      </c>
      <c r="Z174" s="197"/>
      <c r="AA174" s="195"/>
      <c r="AB174" s="195"/>
      <c r="AC174" s="188"/>
      <c r="AD174" s="195"/>
      <c r="AE174" s="189"/>
      <c r="AF174" s="195"/>
      <c r="AG174" s="195"/>
      <c r="AH174" s="208"/>
      <c r="AI174" s="198"/>
      <c r="AJ174" s="195"/>
      <c r="AK174" s="195"/>
      <c r="AL174" s="199"/>
      <c r="AM174" s="199"/>
      <c r="AN174" s="201"/>
      <c r="AO174" s="142"/>
    </row>
    <row r="175" s="207" customFormat="1" ht="18.75" customHeight="1">
      <c r="A175" s="188">
        <v>189</v>
      </c>
      <c r="B175" s="189" t="s">
        <v>483</v>
      </c>
      <c r="C175" s="190" t="str">
        <f>IFERROR(VLOOKUP(B175,REFERENSI!$C$6:$D$15,2,FALSE)," ")</f>
        <v>07</v>
      </c>
      <c r="D175" s="191">
        <v>17</v>
      </c>
      <c r="E175" s="189" t="s">
        <v>387</v>
      </c>
      <c r="F175" s="190" t="str">
        <f>IFERROR(VLOOKUP(E175,REFERENSI!$F$5:$G$6,2,FALSE)," ")</f>
        <v>02</v>
      </c>
      <c r="G175" s="189" t="s">
        <v>840</v>
      </c>
      <c r="H175" s="192" t="str">
        <f t="shared" si="29"/>
        <v xml:space="preserve">20050427  202307 07 02 17</v>
      </c>
      <c r="I175" s="189" t="s">
        <v>841</v>
      </c>
      <c r="J175" s="193" t="s">
        <v>477</v>
      </c>
      <c r="K175" s="193" t="s">
        <v>348</v>
      </c>
      <c r="L175" s="193">
        <v>2005</v>
      </c>
      <c r="M175" s="194" t="str">
        <f t="shared" ref="M175:M180" si="34">L175&amp;K175&amp;J175</f>
        <v>20050427</v>
      </c>
      <c r="N175" s="193" t="s">
        <v>432</v>
      </c>
      <c r="O175" s="193" t="s">
        <v>349</v>
      </c>
      <c r="P175" s="195">
        <v>2023</v>
      </c>
      <c r="Q175" s="193" t="s">
        <v>432</v>
      </c>
      <c r="R175" s="193" t="s">
        <v>349</v>
      </c>
      <c r="S175" s="195">
        <v>2023</v>
      </c>
      <c r="T175" s="188">
        <f t="shared" si="32"/>
        <v>2</v>
      </c>
      <c r="U175" s="188">
        <f t="shared" si="33"/>
        <v>2</v>
      </c>
      <c r="V175" s="188">
        <f t="shared" si="30"/>
        <v>2</v>
      </c>
      <c r="W175" s="188">
        <f t="shared" si="31"/>
        <v>2</v>
      </c>
      <c r="X175" s="195" t="s">
        <v>389</v>
      </c>
      <c r="Y175" s="196" t="s">
        <v>842</v>
      </c>
      <c r="Z175" s="197"/>
      <c r="AA175" s="195"/>
      <c r="AB175" s="195"/>
      <c r="AC175" s="188"/>
      <c r="AD175" s="195"/>
      <c r="AE175" s="189"/>
      <c r="AF175" s="195"/>
      <c r="AG175" s="195"/>
      <c r="AH175" s="208"/>
      <c r="AI175" s="198"/>
      <c r="AJ175" s="195"/>
      <c r="AK175" s="195"/>
      <c r="AL175" s="199"/>
      <c r="AM175" s="199"/>
      <c r="AN175" s="201"/>
      <c r="AO175" s="142"/>
    </row>
    <row r="176" s="207" customFormat="1" ht="18.75" customHeight="1">
      <c r="A176" s="188">
        <v>190</v>
      </c>
      <c r="B176" s="189" t="s">
        <v>483</v>
      </c>
      <c r="C176" s="190" t="str">
        <f>IFERROR(VLOOKUP(B176,REFERENSI!$C$6:$D$15,2,FALSE)," ")</f>
        <v>07</v>
      </c>
      <c r="D176" s="191">
        <v>17</v>
      </c>
      <c r="E176" s="189" t="s">
        <v>387</v>
      </c>
      <c r="F176" s="190" t="str">
        <f>IFERROR(VLOOKUP(E176,REFERENSI!$F$5:$G$6,2,FALSE)," ")</f>
        <v>02</v>
      </c>
      <c r="G176" s="189" t="s">
        <v>843</v>
      </c>
      <c r="H176" s="192" t="str">
        <f t="shared" si="29"/>
        <v xml:space="preserve">20050129  202307 07 02 17</v>
      </c>
      <c r="I176" s="189" t="s">
        <v>844</v>
      </c>
      <c r="J176" s="193" t="s">
        <v>488</v>
      </c>
      <c r="K176" s="193" t="s">
        <v>325</v>
      </c>
      <c r="L176" s="193">
        <v>2005</v>
      </c>
      <c r="M176" s="194" t="str">
        <f t="shared" si="34"/>
        <v>20050129</v>
      </c>
      <c r="N176" s="193" t="s">
        <v>432</v>
      </c>
      <c r="O176" s="193" t="s">
        <v>349</v>
      </c>
      <c r="P176" s="195">
        <v>2023</v>
      </c>
      <c r="Q176" s="193" t="s">
        <v>432</v>
      </c>
      <c r="R176" s="193" t="s">
        <v>349</v>
      </c>
      <c r="S176" s="195">
        <v>2023</v>
      </c>
      <c r="T176" s="188">
        <f t="shared" si="32"/>
        <v>2</v>
      </c>
      <c r="U176" s="188">
        <f t="shared" si="33"/>
        <v>2</v>
      </c>
      <c r="V176" s="188">
        <f t="shared" si="30"/>
        <v>2</v>
      </c>
      <c r="W176" s="188">
        <f t="shared" si="31"/>
        <v>2</v>
      </c>
      <c r="X176" s="195" t="s">
        <v>389</v>
      </c>
      <c r="Y176" s="196" t="s">
        <v>842</v>
      </c>
      <c r="Z176" s="197"/>
      <c r="AA176" s="195"/>
      <c r="AB176" s="195"/>
      <c r="AC176" s="188"/>
      <c r="AD176" s="195"/>
      <c r="AE176" s="189"/>
      <c r="AF176" s="195"/>
      <c r="AG176" s="195"/>
      <c r="AH176" s="208"/>
      <c r="AI176" s="198"/>
      <c r="AJ176" s="195"/>
      <c r="AK176" s="195"/>
      <c r="AL176" s="199"/>
      <c r="AM176" s="199"/>
      <c r="AN176" s="201"/>
      <c r="AO176" s="142"/>
    </row>
    <row r="177" s="207" customFormat="1" ht="18.5" customHeight="1">
      <c r="A177" s="188">
        <v>191</v>
      </c>
      <c r="B177" s="189" t="s">
        <v>483</v>
      </c>
      <c r="C177" s="190" t="str">
        <f>IFERROR(VLOOKUP(B177,REFERENSI!$C$6:$D$15,2,FALSE)," ")</f>
        <v>07</v>
      </c>
      <c r="D177" s="191">
        <v>14</v>
      </c>
      <c r="E177" s="189" t="s">
        <v>76</v>
      </c>
      <c r="F177" s="190" t="str">
        <f>IFERROR(VLOOKUP(E177,REFERENSI!$F$5:$G$6,2,FALSE)," ")</f>
        <v>01</v>
      </c>
      <c r="G177" s="189" t="s">
        <v>845</v>
      </c>
      <c r="H177" s="192" t="str">
        <f t="shared" si="29"/>
        <v xml:space="preserve">19950605  202507 07 01 14</v>
      </c>
      <c r="I177" s="189" t="s">
        <v>347</v>
      </c>
      <c r="J177" s="193" t="s">
        <v>368</v>
      </c>
      <c r="K177" s="193" t="s">
        <v>373</v>
      </c>
      <c r="L177" s="193">
        <v>1995</v>
      </c>
      <c r="M177" s="194" t="str">
        <f t="shared" si="34"/>
        <v>19950605</v>
      </c>
      <c r="N177" s="193" t="s">
        <v>307</v>
      </c>
      <c r="O177" s="193" t="s">
        <v>349</v>
      </c>
      <c r="P177" s="195">
        <v>2025</v>
      </c>
      <c r="Q177" s="193" t="s">
        <v>307</v>
      </c>
      <c r="R177" s="193" t="s">
        <v>349</v>
      </c>
      <c r="S177" s="195">
        <v>2025</v>
      </c>
      <c r="T177" s="188">
        <f t="shared" si="32"/>
        <v>0</v>
      </c>
      <c r="U177" s="188">
        <f t="shared" si="33"/>
        <v>0</v>
      </c>
      <c r="V177" s="188">
        <f t="shared" si="30"/>
        <v>0</v>
      </c>
      <c r="W177" s="188">
        <f t="shared" si="31"/>
        <v>0</v>
      </c>
      <c r="X177" s="195" t="s">
        <v>357</v>
      </c>
      <c r="Y177" s="196" t="s">
        <v>639</v>
      </c>
      <c r="Z177" s="197"/>
      <c r="AA177" s="195"/>
      <c r="AB177" s="195"/>
      <c r="AC177" s="188"/>
      <c r="AD177" s="195"/>
      <c r="AE177" s="189"/>
      <c r="AF177" s="195"/>
      <c r="AG177" s="195"/>
      <c r="AH177" s="208"/>
      <c r="AI177" s="198"/>
      <c r="AJ177" s="195"/>
      <c r="AK177" s="195"/>
      <c r="AL177" s="199"/>
      <c r="AM177" s="199"/>
      <c r="AN177" s="201"/>
      <c r="AO177" s="142"/>
    </row>
    <row r="178" s="207" customFormat="1" ht="18.5" customHeight="1">
      <c r="A178" s="188">
        <v>192</v>
      </c>
      <c r="B178" s="189"/>
      <c r="C178" s="190"/>
      <c r="D178" s="191"/>
      <c r="E178" s="189"/>
      <c r="F178" s="190"/>
      <c r="H178" s="192"/>
      <c r="I178" s="189"/>
      <c r="J178" s="193"/>
      <c r="K178" s="193"/>
      <c r="L178" s="193"/>
      <c r="M178" s="194"/>
      <c r="N178" s="193"/>
      <c r="O178" s="193"/>
      <c r="P178" s="195"/>
      <c r="Q178" s="193"/>
      <c r="R178" s="193"/>
      <c r="S178" s="195"/>
      <c r="T178" s="188"/>
      <c r="U178" s="188"/>
      <c r="V178" s="188"/>
      <c r="W178" s="188"/>
      <c r="X178" s="195"/>
      <c r="Z178" s="197"/>
      <c r="AA178" s="195"/>
      <c r="AB178" s="195"/>
      <c r="AC178" s="188"/>
      <c r="AD178" s="195"/>
      <c r="AE178" s="189"/>
      <c r="AF178" s="195"/>
      <c r="AG178" s="195"/>
      <c r="AH178" s="208"/>
      <c r="AI178" s="198"/>
      <c r="AJ178" s="195"/>
      <c r="AK178" s="195"/>
      <c r="AL178" s="199"/>
      <c r="AM178" s="199"/>
      <c r="AN178" s="201"/>
      <c r="AO178" s="142"/>
    </row>
    <row r="179" s="207" customFormat="1" ht="18.5" customHeight="1">
      <c r="A179" s="188">
        <v>193</v>
      </c>
      <c r="B179" s="189"/>
      <c r="C179" s="190" t="str">
        <f>IFERROR(VLOOKUP(B179,REFERENSI!$C$6:$D$15,2,FALSE)," ")</f>
        <v xml:space="preserve"> </v>
      </c>
      <c r="D179" s="191"/>
      <c r="E179" s="189" t="s">
        <v>76</v>
      </c>
      <c r="F179" s="190" t="str">
        <f>IFERROR(VLOOKUP(E179,REFERENSI!$F$5:$G$6,2,FALSE)," ")</f>
        <v>01</v>
      </c>
      <c r="G179" s="189"/>
      <c r="H179" s="192" t="str">
        <f t="shared" ref="H178:H180" si="35">IFERROR((M179&amp;"  "&amp;P179&amp;O179&amp;" "&amp;C179&amp;" "&amp;F179&amp;" "&amp;D179)," ")</f>
        <v xml:space="preserve">     01 </v>
      </c>
      <c r="I179" s="189"/>
      <c r="J179" s="193"/>
      <c r="K179" s="193"/>
      <c r="L179" s="193"/>
      <c r="M179" s="194" t="str">
        <f t="shared" si="34"/>
        <v/>
      </c>
      <c r="N179" s="193"/>
      <c r="O179" s="193"/>
      <c r="P179" s="195"/>
      <c r="Q179" s="193"/>
      <c r="R179" s="193"/>
      <c r="S179" s="195"/>
      <c r="T179" s="188">
        <f t="shared" si="32"/>
        <v>2025</v>
      </c>
      <c r="U179" s="188">
        <f t="shared" si="33"/>
        <v>2025</v>
      </c>
      <c r="V179" s="188" t="str">
        <f t="shared" si="30"/>
        <v xml:space="preserve"> </v>
      </c>
      <c r="W179" s="188" t="str">
        <f t="shared" si="31"/>
        <v xml:space="preserve"> </v>
      </c>
      <c r="X179" s="195"/>
      <c r="Y179" s="196"/>
      <c r="Z179" s="197"/>
      <c r="AA179" s="195"/>
      <c r="AB179" s="195"/>
      <c r="AC179" s="188"/>
      <c r="AD179" s="195"/>
      <c r="AE179" s="189"/>
      <c r="AF179" s="195"/>
      <c r="AG179" s="195"/>
      <c r="AH179" s="208"/>
      <c r="AI179" s="198"/>
      <c r="AJ179" s="195"/>
      <c r="AK179" s="195"/>
      <c r="AL179" s="199"/>
      <c r="AM179" s="199"/>
      <c r="AN179" s="201"/>
      <c r="AO179" s="142"/>
    </row>
    <row r="180" s="207" customFormat="1" ht="18.5" customHeight="1">
      <c r="A180" s="188">
        <v>194</v>
      </c>
      <c r="B180" s="189"/>
      <c r="C180" s="190" t="str">
        <f>IFERROR(VLOOKUP(B180,REFERENSI!$C$6:$D$15,2,FALSE)," ")</f>
        <v xml:space="preserve"> </v>
      </c>
      <c r="D180" s="191"/>
      <c r="E180" s="189" t="s">
        <v>76</v>
      </c>
      <c r="F180" s="190" t="str">
        <f>IFERROR(VLOOKUP(E180,REFERENSI!$F$5:$G$6,2,FALSE)," ")</f>
        <v>01</v>
      </c>
      <c r="G180" s="189"/>
      <c r="H180" s="192" t="str">
        <f t="shared" si="35"/>
        <v xml:space="preserve">     01 </v>
      </c>
      <c r="I180" s="189"/>
      <c r="J180" s="193"/>
      <c r="K180" s="193"/>
      <c r="L180" s="193"/>
      <c r="M180" s="194" t="str">
        <f t="shared" si="34"/>
        <v/>
      </c>
      <c r="N180" s="193"/>
      <c r="O180" s="193"/>
      <c r="P180" s="195"/>
      <c r="Q180" s="193"/>
      <c r="R180" s="193"/>
      <c r="S180" s="195"/>
      <c r="T180" s="188">
        <f t="shared" si="32"/>
        <v>2025</v>
      </c>
      <c r="U180" s="188">
        <f t="shared" si="33"/>
        <v>2025</v>
      </c>
      <c r="V180" s="188" t="str">
        <f t="shared" si="30"/>
        <v xml:space="preserve"> </v>
      </c>
      <c r="W180" s="188" t="str">
        <f t="shared" si="31"/>
        <v xml:space="preserve"> </v>
      </c>
      <c r="X180" s="195"/>
      <c r="Y180" s="196"/>
      <c r="Z180" s="197"/>
      <c r="AA180" s="195"/>
      <c r="AB180" s="195"/>
      <c r="AC180" s="188"/>
      <c r="AD180" s="195"/>
      <c r="AE180" s="189"/>
      <c r="AF180" s="195"/>
      <c r="AG180" s="195"/>
      <c r="AH180" s="208"/>
      <c r="AI180" s="198"/>
      <c r="AJ180" s="195"/>
      <c r="AK180" s="195"/>
      <c r="AL180" s="199"/>
      <c r="AM180" s="199"/>
      <c r="AN180" s="201"/>
      <c r="AO180" s="142"/>
    </row>
  </sheetData>
  <mergeCells count="21">
    <mergeCell ref="B2:E2"/>
    <mergeCell ref="A5:A7"/>
    <mergeCell ref="B5:B7"/>
    <mergeCell ref="C5:C7"/>
    <mergeCell ref="D5:D7"/>
    <mergeCell ref="E5:E7"/>
    <mergeCell ref="F5:F7"/>
    <mergeCell ref="G5:G7"/>
    <mergeCell ref="H5:H7"/>
    <mergeCell ref="I5:L6"/>
    <mergeCell ref="N5:S5"/>
    <mergeCell ref="V5:W5"/>
    <mergeCell ref="X5:Z6"/>
    <mergeCell ref="AA5:AD6"/>
    <mergeCell ref="AE5:AI6"/>
    <mergeCell ref="AJ5:AL6"/>
    <mergeCell ref="AM5:AM7"/>
    <mergeCell ref="N6:P6"/>
    <mergeCell ref="Q6:S6"/>
    <mergeCell ref="V6:V7"/>
    <mergeCell ref="W6:W7"/>
  </mergeCells>
  <dataValidations count="1" disablePrompts="0" xWindow="154" yWindow="653">
    <dataValidation sqref="D8:D180" type="none" allowBlank="1" errorStyle="stop" imeMode="noControl" operator="between" prompt="ditulis 3 digit, contoh 010, 009, 020, 100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36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18" id="{00D60026-00CB-4FE0-9E66-0068006F0071}">
            <xm:f>LEN(TRIM(A8))=0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A82:C103 E82:AN103 A104:AN113 A114:O114 T114:AN114 Q114:R114 A8:AN81 A176:A180 B176:AN177 B178:F178 H178:X178 A115:AN144 A145:F145 H145:X145 Z145:AN145 A146:AN175</xm:sqref>
        </x14:conditionalFormatting>
        <x14:conditionalFormatting xmlns:xm="http://schemas.microsoft.com/office/excel/2006/main">
          <x14:cfRule type="containsBlanks" priority="8" id="{00E9005A-00A4-4A6C-9098-0045007C007A}">
            <xm:f>LEN(TRIM(D82))=0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D82:D103</xm:sqref>
        </x14:conditionalFormatting>
        <x14:conditionalFormatting xmlns:xm="http://schemas.microsoft.com/office/excel/2006/main">
          <x14:cfRule type="containsBlanks" priority="7" id="{00A8002D-003D-47D9-B1B4-00D600500087}">
            <xm:f>LEN(TRIM(Z178))=0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Z178:AN178</xm:sqref>
        </x14:conditionalFormatting>
        <x14:conditionalFormatting xmlns:xm="http://schemas.microsoft.com/office/excel/2006/main">
          <x14:cfRule type="containsBlanks" priority="6" id="{00560013-00A1-43E5-B6C0-00C100220062}">
            <xm:f>LEN(TRIM(B179))=0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B179:AN179</xm:sqref>
        </x14:conditionalFormatting>
        <x14:conditionalFormatting xmlns:xm="http://schemas.microsoft.com/office/excel/2006/main">
          <x14:cfRule type="containsBlanks" priority="5" id="{00C100C8-0094-4046-9369-006D007B0011}">
            <xm:f>LEN(TRIM(B180))=0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B180:AN180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5" disablePrompts="0" xWindow="154" yWindow="653">
        <x14:dataValidation xr:uid="{00380065-006E-43B1-81BD-0014000D0010}" type="list" allowBlank="1" errorStyle="stop" imeMode="noControl" operator="between" showDropDown="0" showErrorMessage="1" showInputMessage="1">
          <x14:formula1>
            <xm:f>$BG$6:$BG$74</xm:f>
          </x14:formula1>
          <xm:sqref>S67 Z69:Z109 P67 Z8:Z67 L8:L180</xm:sqref>
        </x14:dataValidation>
        <x14:dataValidation xr:uid="{00DB0041-00E0-4579-93E3-00B2003B00BF}" type="list" allowBlank="1" errorStyle="stop" imeMode="noControl" operator="between" showDropDown="0" showErrorMessage="1" showInputMessage="1">
          <x14:formula1>
            <xm:f>$BG$36:$BG$74</xm:f>
          </x14:formula1>
          <xm:sqref>S128:S130 P143 P35:P66 S140 P140 S143 S179:S180 P128:P130 S158 S115:S126 S68:S113 P179:P180 P158 P68:P113 P115:P126 P8:P33 S8:S33 S35:S66</xm:sqref>
        </x14:dataValidation>
        <x14:dataValidation xr:uid="{00B4003E-005A-45A3-9553-004700020002}" type="list" allowBlank="1" errorStyle="stop" imeMode="noControl" operator="between" showDropDown="0" showErrorMessage="1" showInputMessage="1">
          <x14:formula1>
            <xm:f>"-,Januari, Pebruari, Maret, April, Mei, Juni, Juli,  Agustus, September, Oktober, Nopember, Desember"</xm:f>
          </x14:formula1>
          <xm:sqref>D4</xm:sqref>
        </x14:dataValidation>
        <x14:dataValidation xr:uid="{005000DD-006E-483F-9A86-00A600AB00D5}" type="list" allowBlank="1" errorStyle="stop" imeMode="noControl" operator="between" showDropDown="0" showErrorMessage="1" showInputMessage="1">
          <x14:formula1>
            <xm:f>"2014, 2015,2016,2017,2018,2019,2020,2021,2022,2023,2024,2025,2026,2027,2028,2029,2030"</xm:f>
          </x14:formula1>
          <xm:sqref>E4 P114 S114</xm:sqref>
        </x14:dataValidation>
        <x14:dataValidation xr:uid="{001E0064-0032-405F-ACC3-00CC00F1007B}" type="list" allowBlank="1" errorStyle="stop" imeMode="noControl" operator="between" showDropDown="0" showErrorMessage="1" showInputMessage="1">
          <x14:formula1>
            <xm:f>$BF$6:$BF$36</xm:f>
          </x14:formula1>
          <xm:sqref>B4 J8:J180 N8:N180 Q8:Q180</xm:sqref>
        </x14:dataValidation>
        <x14:dataValidation xr:uid="{00F800C2-00F8-42F6-8D78-00B70016006D}" type="list" allowBlank="1" errorStyle="stop" imeMode="noControl" operator="between" showDropDown="0" showErrorMessage="1" showInputMessage="1">
          <x14:formula1>
            <xm:f>"2019,2020,2021,2022,2023,2024,2025"</xm:f>
          </x14:formula1>
          <xm:sqref>P131:P139 P141:P142 S141:S142 Z68 S34 P127 S127 P34 S131:S139 P159:P178 S159:S178 S144:S157 P144:P157</xm:sqref>
        </x14:dataValidation>
        <x14:dataValidation xr:uid="{00390052-001E-4C64-B8F9-00E0000900FA}" type="list" allowBlank="1" errorStyle="stop" imeMode="noControl" operator="between" showDropDown="0" showErrorMessage="1" showInputMessage="1">
          <x14:formula1>
            <xm:f>$BG$6:$BG$58</xm:f>
          </x14:formula1>
          <xm:sqref>Z110:Z180 AK8:AK180</xm:sqref>
        </x14:dataValidation>
        <x14:dataValidation xr:uid="{00E10059-0032-4F66-8CBB-005500F800C9}" type="list" allowBlank="1" errorStyle="stop" imeMode="noControl" operator="between" showDropDown="0" showErrorMessage="1" showInputMessage="1">
          <x14:formula1>
            <xm:f>"SLTA, D II, S1, S2, S3"</xm:f>
          </x14:formula1>
          <xm:sqref>X8:X180</xm:sqref>
        </x14:dataValidation>
        <x14:dataValidation xr:uid="{00C500A1-0071-4357-943F-000D00250023}" type="list" allowBlank="1" errorStyle="stop" imeMode="noControl" operator="between" showDropDown="0" showErrorMessage="1" showInputMessage="1">
          <x14:formula1>
            <xm:f>$BK$6:$BK$18</xm:f>
          </x14:formula1>
          <xm:sqref>AG8:AG180</xm:sqref>
        </x14:dataValidation>
        <x14:dataValidation xr:uid="{004A0076-006D-4450-9DF4-00AB00580087}" type="list" allowBlank="1" errorStyle="stop" imeMode="noControl" operator="between" showDropDown="0" showErrorMessage="1" showInputMessage="1">
          <x14:formula1>
            <xm:f>$BF$6:$BF$17</xm:f>
          </x14:formula1>
          <xm:sqref>K8:K180 O8:O180 R8:R180</xm:sqref>
        </x14:dataValidation>
        <x14:dataValidation xr:uid="{003E0014-003A-4974-BAC1-00E800560077}" type="list" allowBlank="1" errorStyle="stop" imeMode="noControl" operator="between" showDropDown="0" showErrorMessage="1" showInputMessage="1">
          <x14:formula1>
            <xm:f>"III A, III B, III C, III D, IV A, IV B, IV C, IV D, IV E"</xm:f>
          </x14:formula1>
          <xm:sqref>AD8:AD180</xm:sqref>
        </x14:dataValidation>
        <x14:dataValidation xr:uid="{00C00079-00A0-4A9C-B149-0047006A0032}" type="list" allowBlank="1" errorStyle="stop" imeMode="noControl" operator="between" showDropDown="0" showErrorMessage="1" showInputMessage="1">
          <x14:formula1>
            <xm:f>"GURU PERTAMA, GURU MUDA, GURU MADYA, GURU DEWASA, GURU UTAMA"</xm:f>
          </x14:formula1>
          <xm:sqref>AB8:AB180</xm:sqref>
        </x14:dataValidation>
        <x14:dataValidation xr:uid="{007E00E2-00E4-46F7-A8C5-0043008600C5}" type="list" allowBlank="1" errorStyle="stop" imeMode="noControl" operator="between" showDropDown="0" showErrorMessage="1" showInputMessage="1">
          <x14:formula1>
            <xm:f>"SUDAH, BELUM"</xm:f>
          </x14:formula1>
          <xm:sqref>AA8:AA180 AJ8:AJ180</xm:sqref>
        </x14:dataValidation>
        <x14:dataValidation xr:uid="{007200D8-0073-4FFB-8AF5-00FC008D003D}" type="list" allowBlank="1" errorStyle="stop" imeMode="noControl" operator="between" showDropDown="0" showErrorMessage="1" showInputMessage="1">
          <x14:formula1>
            <xm:f>"-, PAUD, RA, MI, MTs, MA, SMK 1, SMK 2,MTM"</xm:f>
          </x14:formula1>
          <xm:sqref>B8:B180</xm:sqref>
        </x14:dataValidation>
        <x14:dataValidation xr:uid="{002C007C-0061-43FA-8162-004D00C000C9}" type="list" allowBlank="1" errorStyle="stop" imeMode="noControl" operator="between" showDropDown="0" showErrorMessage="1" showInputMessage="1">
          <x14:formula1>
            <xm:f>",Guru, Tenaga Kependidikan, Kepala Sekolah, Kepala Madrasah"</xm:f>
          </x14:formula1>
          <xm:sqref>E8:E180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4">
    <outlinePr applyStyles="0" summaryBelow="1" summaryRight="1" showOutlineSymbols="1"/>
    <pageSetUpPr autoPageBreaks="1" fitToPage="0"/>
  </sheetPr>
  <sheetViews>
    <sheetView topLeftCell="A12" zoomScale="98" workbookViewId="0">
      <selection activeCell="L35" activeCellId="0" sqref="L35"/>
    </sheetView>
  </sheetViews>
  <sheetFormatPr defaultRowHeight="14.5"/>
  <cols>
    <col bestFit="1" customWidth="1" min="5" max="5" width="13.453125"/>
    <col bestFit="1" customWidth="1" min="6" max="6" width="20.26953125"/>
  </cols>
  <sheetData>
    <row r="5">
      <c r="C5" s="216" t="s">
        <v>310</v>
      </c>
      <c r="D5" s="216" t="s">
        <v>311</v>
      </c>
      <c r="F5" t="s">
        <v>76</v>
      </c>
      <c r="G5" s="217" t="s">
        <v>325</v>
      </c>
      <c r="H5" t="s">
        <v>360</v>
      </c>
      <c r="I5" t="s">
        <v>846</v>
      </c>
      <c r="L5" s="218">
        <v>1</v>
      </c>
    </row>
    <row r="6">
      <c r="C6" s="219" t="s">
        <v>375</v>
      </c>
      <c r="D6" s="220" t="s">
        <v>325</v>
      </c>
      <c r="F6" t="s">
        <v>387</v>
      </c>
      <c r="G6" s="217" t="s">
        <v>343</v>
      </c>
      <c r="H6" t="s">
        <v>365</v>
      </c>
      <c r="I6" t="s">
        <v>674</v>
      </c>
      <c r="L6" s="218">
        <v>2</v>
      </c>
    </row>
    <row r="7">
      <c r="C7" s="219" t="s">
        <v>345</v>
      </c>
      <c r="D7" s="220" t="s">
        <v>343</v>
      </c>
      <c r="H7" t="s">
        <v>398</v>
      </c>
      <c r="I7" t="s">
        <v>847</v>
      </c>
      <c r="L7" s="218">
        <v>3</v>
      </c>
    </row>
    <row r="8">
      <c r="C8" s="219" t="s">
        <v>395</v>
      </c>
      <c r="D8" s="220" t="s">
        <v>354</v>
      </c>
      <c r="H8" t="s">
        <v>565</v>
      </c>
      <c r="I8" t="s">
        <v>660</v>
      </c>
      <c r="L8" s="218">
        <v>4</v>
      </c>
    </row>
    <row r="9">
      <c r="C9" s="219" t="s">
        <v>416</v>
      </c>
      <c r="D9" s="220" t="s">
        <v>348</v>
      </c>
      <c r="H9" t="s">
        <v>577</v>
      </c>
      <c r="I9" t="s">
        <v>645</v>
      </c>
      <c r="L9" s="218">
        <v>5</v>
      </c>
    </row>
    <row r="10">
      <c r="C10" s="219" t="s">
        <v>637</v>
      </c>
      <c r="D10" s="220" t="s">
        <v>368</v>
      </c>
      <c r="H10" t="s">
        <v>848</v>
      </c>
      <c r="I10" t="s">
        <v>849</v>
      </c>
      <c r="L10" s="218">
        <v>6</v>
      </c>
    </row>
    <row r="11">
      <c r="C11" s="219" t="s">
        <v>550</v>
      </c>
      <c r="D11" s="220" t="s">
        <v>373</v>
      </c>
      <c r="H11" t="s">
        <v>850</v>
      </c>
      <c r="I11" t="s">
        <v>851</v>
      </c>
      <c r="L11" s="218">
        <v>7</v>
      </c>
    </row>
    <row r="12">
      <c r="C12" s="219" t="s">
        <v>483</v>
      </c>
      <c r="D12" s="220" t="s">
        <v>349</v>
      </c>
      <c r="H12" t="s">
        <v>852</v>
      </c>
      <c r="I12" t="s">
        <v>853</v>
      </c>
      <c r="L12" s="218">
        <v>8</v>
      </c>
    </row>
    <row r="13">
      <c r="C13" s="219" t="s">
        <v>762</v>
      </c>
      <c r="D13" s="220" t="s">
        <v>385</v>
      </c>
      <c r="H13" t="s">
        <v>854</v>
      </c>
      <c r="I13" t="s">
        <v>855</v>
      </c>
      <c r="L13" s="218">
        <v>9</v>
      </c>
    </row>
    <row r="14">
      <c r="C14" s="219" t="s">
        <v>856</v>
      </c>
      <c r="D14" s="220" t="s">
        <v>393</v>
      </c>
      <c r="L14" s="218">
        <v>10</v>
      </c>
    </row>
    <row r="15">
      <c r="C15" s="219" t="s">
        <v>857</v>
      </c>
      <c r="D15" s="220" t="s">
        <v>400</v>
      </c>
      <c r="L15" s="218">
        <v>11</v>
      </c>
    </row>
    <row r="16">
      <c r="L16" s="218">
        <v>12</v>
      </c>
    </row>
    <row r="17">
      <c r="L17" s="218">
        <v>13</v>
      </c>
    </row>
    <row r="18">
      <c r="L18" s="218">
        <v>14</v>
      </c>
    </row>
    <row r="19">
      <c r="L19" s="218">
        <v>15</v>
      </c>
    </row>
    <row r="20">
      <c r="L20" s="218">
        <v>16</v>
      </c>
    </row>
    <row r="21">
      <c r="L21" s="218">
        <v>17</v>
      </c>
    </row>
    <row r="22">
      <c r="L22" s="218">
        <v>18</v>
      </c>
    </row>
    <row r="23">
      <c r="L23" s="218">
        <v>19</v>
      </c>
    </row>
    <row r="24">
      <c r="L24" s="218">
        <v>20</v>
      </c>
    </row>
    <row r="25">
      <c r="L25" s="218">
        <v>21</v>
      </c>
    </row>
    <row r="26">
      <c r="L26" s="218">
        <v>22</v>
      </c>
    </row>
    <row r="27">
      <c r="L27" s="218">
        <v>23</v>
      </c>
    </row>
    <row r="28">
      <c r="L28" s="218">
        <v>24</v>
      </c>
    </row>
    <row r="29">
      <c r="L29" s="218">
        <v>25</v>
      </c>
    </row>
    <row r="30">
      <c r="L30" s="218">
        <v>26</v>
      </c>
    </row>
    <row r="31">
      <c r="L31" s="218">
        <v>27</v>
      </c>
    </row>
    <row r="32">
      <c r="B32" t="s">
        <v>858</v>
      </c>
      <c r="L32" s="218">
        <v>28</v>
      </c>
    </row>
    <row r="33">
      <c r="L33" s="218">
        <v>29</v>
      </c>
    </row>
    <row r="34">
      <c r="B34" s="218" t="s">
        <v>859</v>
      </c>
      <c r="C34" s="218" t="s">
        <v>311</v>
      </c>
      <c r="D34" s="218" t="s">
        <v>310</v>
      </c>
      <c r="E34" s="218" t="s">
        <v>860</v>
      </c>
      <c r="F34" s="218" t="s">
        <v>861</v>
      </c>
      <c r="L34" s="218">
        <v>30</v>
      </c>
    </row>
    <row r="35">
      <c r="B35" t="s">
        <v>862</v>
      </c>
      <c r="C35" t="s">
        <v>863</v>
      </c>
      <c r="D35" s="221">
        <v>2</v>
      </c>
      <c r="L35" s="218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36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80028-003D-4563-8D60-00C400C300CB}" type="list" allowBlank="1" errorStyle="stop" imeMode="noControl" operator="between" prompt="01 : PAUD&#10;02 : RA&#10;03 : MI&#10;04 : MTs&#10;05 : MA&#10;06 : SMK 1&#10;07 : SMK2" showDropDown="0" showErrorMessage="1" showInputMessage="1">
          <x14:formula1>
            <xm:f>"01, 02, 03, 04, 05, 06, 07"</xm:f>
          </x14:formula1>
          <xm:sqref>D35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6">
    <outlinePr applyStyles="0" summaryBelow="1" summaryRight="1" showOutlineSymbols="1"/>
    <pageSetUpPr autoPageBreaks="1" fitToPage="0"/>
  </sheetPr>
  <sheetViews>
    <sheetView showGridLines="0" showRowColHeaders="0" zoomScale="100" workbookViewId="0">
      <pane xSplit="1" ySplit="13" topLeftCell="B14" activePane="bottomRight" state="frozen"/>
      <selection activeCell="A1" activeCellId="0" sqref="A1"/>
    </sheetView>
  </sheetViews>
  <sheetFormatPr defaultColWidth="0" defaultRowHeight="15" customHeight="1" zeroHeight="1"/>
  <cols>
    <col customWidth="1" min="1" max="5" style="222" width="9.1796875"/>
    <col customWidth="1" min="6" max="6" style="222" width="3"/>
    <col customWidth="1" min="7" max="15" style="222" width="9.1796875"/>
    <col customWidth="1" min="16" max="16" style="222" width="4.54296875"/>
    <col customWidth="1" hidden="1" min="17" max="30" style="222" width="0"/>
    <col hidden="1" min="31" max="16384" style="222" width="9.1796875"/>
  </cols>
  <sheetData>
    <row r="1" ht="14.5">
      <c r="A1" s="223"/>
      <c r="B1" s="224" t="s">
        <v>864</v>
      </c>
      <c r="C1" s="224"/>
      <c r="D1" s="224"/>
      <c r="E1" s="223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</row>
    <row r="2" ht="14.5">
      <c r="A2" s="223"/>
      <c r="B2" s="224"/>
      <c r="C2" s="224"/>
      <c r="D2" s="224"/>
      <c r="E2" s="223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</row>
    <row r="3" ht="14.5">
      <c r="A3" s="223"/>
      <c r="B3" s="226"/>
      <c r="C3" s="227"/>
      <c r="D3" s="227"/>
      <c r="E3" s="223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</row>
    <row r="4" ht="14.5">
      <c r="A4" s="223"/>
      <c r="B4" s="223"/>
      <c r="C4" s="228">
        <v>1</v>
      </c>
      <c r="D4" s="223"/>
      <c r="E4" s="223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</row>
    <row r="5" ht="14.5">
      <c r="A5" s="223"/>
      <c r="B5" s="223"/>
      <c r="C5" s="223"/>
      <c r="D5" s="223"/>
      <c r="E5" s="223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</row>
    <row r="6" ht="14.5">
      <c r="A6" s="223"/>
      <c r="B6" s="223"/>
      <c r="C6" s="223"/>
      <c r="D6" s="223"/>
      <c r="E6" s="223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</row>
    <row r="7" ht="14.5">
      <c r="A7" s="225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</row>
    <row r="8" ht="23">
      <c r="A8" s="225"/>
      <c r="B8" s="1"/>
      <c r="C8" s="1"/>
      <c r="D8" s="2" t="s"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25"/>
    </row>
    <row r="9" ht="23">
      <c r="A9" s="225"/>
      <c r="B9" s="1"/>
      <c r="C9" s="1"/>
      <c r="D9" s="3" t="s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25"/>
    </row>
    <row r="10" ht="15.5">
      <c r="A10" s="225"/>
      <c r="B10" s="1"/>
      <c r="C10" s="1"/>
      <c r="D10" s="4" t="s">
        <v>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225"/>
    </row>
    <row r="11" ht="15.5">
      <c r="A11" s="225"/>
      <c r="B11" s="1"/>
      <c r="C11" s="1"/>
      <c r="D11" s="4" t="s">
        <v>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225"/>
    </row>
    <row r="12" ht="14.5">
      <c r="A12" s="225"/>
      <c r="B12" s="1"/>
      <c r="C12" s="1"/>
      <c r="D12" s="5" t="s">
        <v>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225"/>
    </row>
    <row r="13" ht="8.25" customHeight="1">
      <c r="A13" s="225"/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5"/>
    </row>
    <row r="14" ht="15" customHeight="1">
      <c r="A14" s="225"/>
      <c r="P14" s="225"/>
    </row>
    <row r="15" ht="20">
      <c r="A15" s="225"/>
      <c r="B15" s="230" t="s">
        <v>865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25"/>
    </row>
    <row r="16" ht="14.5">
      <c r="A16" s="225"/>
      <c r="P16" s="225"/>
    </row>
    <row r="17" ht="25" customHeight="1">
      <c r="A17" s="225"/>
      <c r="B17" s="29" t="s">
        <v>314</v>
      </c>
      <c r="C17" s="29"/>
      <c r="D17" s="29"/>
      <c r="E17" s="29"/>
      <c r="F17" s="222" t="s">
        <v>10</v>
      </c>
      <c r="G17" s="29" t="str">
        <f>VLOOKUP($C$4,REKAP!$C$8:$AQ$45,7,FALSE)</f>
        <v>Hj.AZ.MUTIATUN,A.Ma</v>
      </c>
      <c r="H17" s="29"/>
      <c r="I17" s="29"/>
      <c r="J17" s="29"/>
      <c r="N17" s="231" t="s">
        <v>866</v>
      </c>
      <c r="O17" s="232"/>
      <c r="P17" s="225"/>
    </row>
    <row r="18" ht="25" customHeight="1">
      <c r="A18" s="225"/>
      <c r="B18" s="29" t="s">
        <v>18</v>
      </c>
      <c r="C18" s="29"/>
      <c r="D18" s="29"/>
      <c r="E18" s="29"/>
      <c r="F18" s="222" t="s">
        <v>10</v>
      </c>
      <c r="G18" s="29" t="str">
        <f>VLOOKUP($C$4,REKAP!$C$8:$AQ$45,8,FALSE)</f>
        <v xml:space="preserve">19410413  200107 02 01 </v>
      </c>
      <c r="H18" s="29"/>
      <c r="I18" s="29"/>
      <c r="J18" s="29"/>
      <c r="N18" s="233"/>
      <c r="O18" s="234"/>
      <c r="P18" s="225"/>
    </row>
    <row r="19" ht="25" customHeight="1">
      <c r="A19" s="225"/>
      <c r="B19" s="29" t="s">
        <v>60</v>
      </c>
      <c r="C19" s="29"/>
      <c r="D19" s="29"/>
      <c r="E19" s="29"/>
      <c r="F19" s="222" t="s">
        <v>10</v>
      </c>
      <c r="G19" s="29" t="str">
        <f>VLOOKUP($C$4,REKAP!$C$8:$AQ$45,41,FALSE)</f>
        <v>-</v>
      </c>
      <c r="H19" s="29"/>
      <c r="I19" s="29"/>
      <c r="J19" s="29"/>
      <c r="N19" s="233"/>
      <c r="O19" s="234"/>
      <c r="P19" s="225"/>
    </row>
    <row r="20" ht="25" customHeight="1">
      <c r="A20" s="225"/>
      <c r="B20" s="29" t="s">
        <v>867</v>
      </c>
      <c r="C20" s="29"/>
      <c r="D20" s="29"/>
      <c r="E20" s="29"/>
      <c r="F20" s="222" t="s">
        <v>10</v>
      </c>
      <c r="G20" s="29" t="str">
        <f>VLOOKUP($C$4,REKAP!$C$8:$AQ$45,13,FALSE)</f>
        <v xml:space="preserve">Trenggalek, 13-04-1941</v>
      </c>
      <c r="H20" s="29"/>
      <c r="I20" s="29"/>
      <c r="J20" s="29"/>
      <c r="N20" s="233"/>
      <c r="O20" s="234"/>
      <c r="P20" s="225"/>
    </row>
    <row r="21" ht="25" customHeight="1">
      <c r="A21" s="225"/>
      <c r="B21" s="29" t="s">
        <v>868</v>
      </c>
      <c r="C21" s="29"/>
      <c r="D21" s="29"/>
      <c r="E21" s="29"/>
      <c r="F21" s="222" t="s">
        <v>10</v>
      </c>
      <c r="G21" s="29" t="str">
        <f>VLOOKUP($C$4,REKAP!$C$8:$AQ$45,26,FALSE)</f>
        <v xml:space="preserve">D II</v>
      </c>
      <c r="H21" s="29"/>
      <c r="I21" s="235" t="s">
        <v>17</v>
      </c>
      <c r="J21" s="29" t="str">
        <f>VLOOKUP($C$4,REKAP!$C$8:$AQ$45,27,FALSE)</f>
        <v>PAI</v>
      </c>
      <c r="N21" s="236"/>
      <c r="O21" s="237"/>
      <c r="P21" s="225"/>
    </row>
    <row r="22" ht="25" customHeight="1">
      <c r="A22" s="225"/>
      <c r="B22" s="29" t="s">
        <v>869</v>
      </c>
      <c r="C22" s="29"/>
      <c r="D22" s="29"/>
      <c r="E22" s="29"/>
      <c r="F22" s="222" t="s">
        <v>10</v>
      </c>
      <c r="G22" s="29" t="str">
        <f>VLOOKUP($C$4,REKAP!$C$8:$AQ$45,5,FALSE)</f>
        <v>Guru</v>
      </c>
      <c r="H22" s="29"/>
      <c r="I22" s="29"/>
      <c r="J22" s="29"/>
      <c r="P22" s="225"/>
    </row>
    <row r="23" ht="25" customHeight="1">
      <c r="A23" s="225"/>
      <c r="B23" s="29" t="s">
        <v>870</v>
      </c>
      <c r="C23" s="29"/>
      <c r="D23" s="29"/>
      <c r="E23" s="29"/>
      <c r="F23" s="222" t="s">
        <v>10</v>
      </c>
      <c r="G23" s="29" t="str">
        <f>VLOOKUP($C$4,REKAP!$C$8:$AQ$45,17,FALSE)</f>
        <v>01-07-2001</v>
      </c>
      <c r="H23" s="29"/>
      <c r="I23" s="29"/>
      <c r="J23" s="29"/>
      <c r="P23" s="225"/>
    </row>
    <row r="24" ht="25" customHeight="1">
      <c r="A24" s="225"/>
      <c r="B24" s="29" t="s">
        <v>871</v>
      </c>
      <c r="C24" s="29"/>
      <c r="D24" s="29"/>
      <c r="E24" s="29"/>
      <c r="F24" s="222" t="s">
        <v>10</v>
      </c>
      <c r="G24" s="29" t="str">
        <f>VLOOKUP($C$4,REKAP!$C$8:$AQ$45,2,FALSE)</f>
        <v xml:space="preserve">RA Qomarul Hidayah</v>
      </c>
      <c r="H24" s="29"/>
      <c r="I24" s="29"/>
      <c r="J24" s="29"/>
      <c r="P24" s="225"/>
    </row>
    <row r="25" ht="25" customHeight="1">
      <c r="A25" s="225"/>
      <c r="B25" s="29" t="s">
        <v>872</v>
      </c>
      <c r="C25" s="29"/>
      <c r="D25" s="29"/>
      <c r="E25" s="29"/>
      <c r="F25" s="222" t="s">
        <v>10</v>
      </c>
      <c r="G25" s="29" t="str">
        <f>VLOOKUP($C$4,REKAP!$C$8:$AQ$45,21,FALSE)</f>
        <v>01-07-2001</v>
      </c>
      <c r="H25" s="29"/>
      <c r="I25" s="29"/>
      <c r="J25" s="29"/>
      <c r="P25" s="225"/>
    </row>
    <row r="26" ht="25" customHeight="1">
      <c r="A26" s="225"/>
      <c r="B26" s="29" t="s">
        <v>873</v>
      </c>
      <c r="C26" s="29"/>
      <c r="D26" s="29"/>
      <c r="E26" s="29"/>
      <c r="F26" s="222" t="s">
        <v>10</v>
      </c>
      <c r="G26" s="29">
        <f>VLOOKUP($C$4,REKAP!$C$8:$AQ$45,24,FALSE)</f>
        <v>24</v>
      </c>
      <c r="H26" s="29" t="s">
        <v>49</v>
      </c>
      <c r="I26" s="29"/>
      <c r="J26" s="29"/>
      <c r="P26" s="225"/>
    </row>
    <row r="27" ht="25" customHeight="1">
      <c r="A27" s="225"/>
      <c r="B27" s="29" t="s">
        <v>874</v>
      </c>
      <c r="C27" s="29"/>
      <c r="D27" s="29"/>
      <c r="E27" s="29"/>
      <c r="F27" s="222" t="s">
        <v>10</v>
      </c>
      <c r="G27" s="29">
        <f>VLOOKUP($C$4,REKAP!$C$8:$AQ$45,25,FALSE)</f>
        <v>24</v>
      </c>
      <c r="H27" s="29" t="s">
        <v>49</v>
      </c>
      <c r="I27" s="29"/>
      <c r="J27" s="29"/>
      <c r="P27" s="225"/>
    </row>
    <row r="28" ht="25" customHeight="1">
      <c r="A28" s="225"/>
      <c r="B28" s="29" t="s">
        <v>63</v>
      </c>
      <c r="C28" s="29"/>
      <c r="D28" s="29"/>
      <c r="E28" s="29"/>
      <c r="F28" s="222" t="s">
        <v>10</v>
      </c>
      <c r="G28" s="29" t="str">
        <f>VLOOKUP($C$4,REKAP!$C$8:$AQ$45,29,FALSE)</f>
        <v>BELUM</v>
      </c>
      <c r="H28" s="29"/>
      <c r="I28" s="29"/>
      <c r="J28" s="29"/>
      <c r="P28" s="225"/>
    </row>
    <row r="29" ht="25" customHeight="1">
      <c r="A29" s="225"/>
      <c r="B29" s="238" t="s">
        <v>73</v>
      </c>
      <c r="C29" s="238"/>
      <c r="D29" s="238"/>
      <c r="E29" s="238"/>
      <c r="F29" s="222" t="s">
        <v>10</v>
      </c>
      <c r="G29" s="29">
        <f>VLOOKUP($C$4,REKAP!$C$8:$AQ$45,30,FALSE)</f>
        <v>0</v>
      </c>
      <c r="H29" s="29"/>
      <c r="I29" s="29"/>
      <c r="J29" s="29"/>
      <c r="P29" s="225"/>
    </row>
    <row r="30" ht="25" customHeight="1">
      <c r="A30" s="225"/>
      <c r="B30" s="238" t="s">
        <v>875</v>
      </c>
      <c r="C30" s="238"/>
      <c r="D30" s="238"/>
      <c r="E30" s="238"/>
      <c r="F30" s="222" t="s">
        <v>10</v>
      </c>
      <c r="G30" s="29" t="str">
        <f>VLOOKUP($C$4,REKAP!$C$8:$AQ$45,31,FALSE)</f>
        <v xml:space="preserve"> </v>
      </c>
      <c r="H30" s="29"/>
      <c r="I30" s="29"/>
      <c r="J30" s="29"/>
      <c r="P30" s="225"/>
    </row>
    <row r="31" ht="25" customHeight="1">
      <c r="A31" s="225"/>
      <c r="B31" s="238" t="s">
        <v>876</v>
      </c>
      <c r="C31" s="238"/>
      <c r="D31" s="238"/>
      <c r="E31" s="238"/>
      <c r="F31" s="222" t="s">
        <v>10</v>
      </c>
      <c r="G31" s="29">
        <f>VLOOKUP($C$4,REKAP!$C$8:$AQ$45,32,FALSE)</f>
        <v>0</v>
      </c>
      <c r="H31" s="29"/>
      <c r="I31" s="29"/>
      <c r="J31" s="29"/>
      <c r="P31" s="225"/>
    </row>
    <row r="32" ht="25" customHeight="1">
      <c r="A32" s="225"/>
      <c r="B32" s="29" t="s">
        <v>877</v>
      </c>
      <c r="C32" s="29"/>
      <c r="D32" s="29"/>
      <c r="E32" s="29"/>
      <c r="F32" s="222" t="s">
        <v>10</v>
      </c>
      <c r="G32" s="29" t="str">
        <f>VLOOKUP($C$4,REKAP!$C$8:$AQ$45,33,FALSE)</f>
        <v xml:space="preserve">Guru Kelas</v>
      </c>
      <c r="H32" s="29"/>
      <c r="I32" s="29"/>
      <c r="J32" s="29"/>
      <c r="K32" s="38"/>
      <c r="P32" s="225"/>
    </row>
    <row r="33" ht="25" customHeight="1">
      <c r="A33" s="225"/>
      <c r="B33" s="239" t="s">
        <v>878</v>
      </c>
      <c r="C33" s="239"/>
      <c r="D33" s="239"/>
      <c r="E33" s="239"/>
      <c r="F33" s="222" t="s">
        <v>10</v>
      </c>
      <c r="G33" s="4">
        <f>VLOOKUP($C$4,REKAP!$C$8:$AQ$45,34,FALSE)</f>
        <v>0</v>
      </c>
      <c r="H33" s="38" t="s">
        <v>879</v>
      </c>
      <c r="I33" s="38"/>
      <c r="J33" s="38"/>
      <c r="K33" s="38"/>
      <c r="P33" s="225"/>
    </row>
    <row r="34" ht="25" customHeight="1">
      <c r="A34" s="225"/>
      <c r="B34" s="239" t="s">
        <v>880</v>
      </c>
      <c r="C34" s="239"/>
      <c r="D34" s="239"/>
      <c r="E34" s="239"/>
      <c r="F34" s="222" t="s">
        <v>10</v>
      </c>
      <c r="G34" s="29" t="str">
        <f>VLOOKUP($C$4,REKAP!$C$8:$AQ$45,35,FALSE)</f>
        <v xml:space="preserve">Kepala Sekolah</v>
      </c>
      <c r="H34" s="29"/>
      <c r="I34" s="29"/>
      <c r="J34" s="29"/>
      <c r="K34" s="29"/>
      <c r="P34" s="225"/>
    </row>
    <row r="35" ht="25" customHeight="1">
      <c r="A35" s="225"/>
      <c r="B35" s="29" t="s">
        <v>881</v>
      </c>
      <c r="C35" s="29"/>
      <c r="D35" s="29"/>
      <c r="E35" s="29"/>
      <c r="F35" s="222" t="s">
        <v>10</v>
      </c>
      <c r="G35" s="29" t="str">
        <f>VLOOKUP($C$4,REKAP!$C$8:$AQ$45,38,FALSE)</f>
        <v>BELUM</v>
      </c>
      <c r="H35" s="29"/>
      <c r="I35" s="29"/>
      <c r="J35" s="29"/>
      <c r="K35" s="29"/>
      <c r="P35" s="225"/>
    </row>
    <row r="36" ht="25" customHeight="1">
      <c r="A36" s="225"/>
      <c r="B36" s="239" t="s">
        <v>882</v>
      </c>
      <c r="C36" s="239"/>
      <c r="D36" s="239"/>
      <c r="E36" s="239"/>
      <c r="F36" s="222" t="s">
        <v>10</v>
      </c>
      <c r="G36" s="29">
        <f>VLOOKUP($C$4,REKAP!$C$8:$AQ$45,39,FALSE)</f>
        <v>0</v>
      </c>
      <c r="H36" s="29"/>
      <c r="I36" s="29"/>
      <c r="J36" s="29"/>
      <c r="K36" s="29"/>
      <c r="P36" s="225"/>
    </row>
    <row r="37" ht="25" customHeight="1">
      <c r="A37" s="225"/>
      <c r="B37" s="239" t="s">
        <v>62</v>
      </c>
      <c r="C37" s="239"/>
      <c r="D37" s="239"/>
      <c r="E37" s="239"/>
      <c r="F37" s="222" t="s">
        <v>10</v>
      </c>
      <c r="G37" s="29">
        <f>VLOOKUP($C$4,REKAP!$C$8:$AQ$45,40,FALSE)</f>
        <v>0</v>
      </c>
      <c r="H37" s="29"/>
      <c r="I37" s="29"/>
      <c r="J37" s="29"/>
      <c r="K37" s="29"/>
      <c r="P37" s="225"/>
    </row>
    <row r="38" ht="15.5">
      <c r="A38" s="225"/>
      <c r="J38" s="38" t="s">
        <v>883</v>
      </c>
      <c r="P38" s="225"/>
    </row>
    <row r="39" ht="15.5">
      <c r="A39" s="225"/>
      <c r="J39" s="38" t="s">
        <v>884</v>
      </c>
      <c r="P39" s="225"/>
    </row>
    <row r="40" ht="15.5">
      <c r="A40" s="225"/>
      <c r="J40" s="38"/>
      <c r="P40" s="225"/>
    </row>
    <row r="41" ht="15.5">
      <c r="A41" s="225"/>
      <c r="J41" s="38"/>
      <c r="P41" s="225"/>
    </row>
    <row r="42" ht="15.5">
      <c r="A42" s="225"/>
      <c r="J42" s="38" t="s">
        <v>885</v>
      </c>
      <c r="P42" s="225"/>
    </row>
    <row r="43" ht="14.5">
      <c r="A43" s="225"/>
      <c r="P43" s="225"/>
    </row>
    <row r="44" ht="14.5">
      <c r="A44" s="225"/>
      <c r="P44" s="225"/>
    </row>
    <row r="45" ht="14.5">
      <c r="A45" s="225"/>
      <c r="B45" s="225"/>
      <c r="C45" s="225"/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</row>
    <row r="46" ht="14.5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47">
    <mergeCell ref="B35:E35"/>
    <mergeCell ref="G35:J35"/>
    <mergeCell ref="B36:E36"/>
    <mergeCell ref="G36:H36"/>
    <mergeCell ref="B37:E37"/>
    <mergeCell ref="G37:K37"/>
    <mergeCell ref="B31:E31"/>
    <mergeCell ref="B32:E32"/>
    <mergeCell ref="G32:J32"/>
    <mergeCell ref="B33:E33"/>
    <mergeCell ref="B34:E34"/>
    <mergeCell ref="G34:J34"/>
    <mergeCell ref="B28:E28"/>
    <mergeCell ref="G28:J28"/>
    <mergeCell ref="B29:E29"/>
    <mergeCell ref="G29:J29"/>
    <mergeCell ref="B30:E30"/>
    <mergeCell ref="G30:J30"/>
    <mergeCell ref="B27:E27"/>
    <mergeCell ref="B20:E20"/>
    <mergeCell ref="G20:J20"/>
    <mergeCell ref="B21:E21"/>
    <mergeCell ref="B22:E22"/>
    <mergeCell ref="G22:J22"/>
    <mergeCell ref="B23:E23"/>
    <mergeCell ref="G23:I23"/>
    <mergeCell ref="B24:E24"/>
    <mergeCell ref="G24:J24"/>
    <mergeCell ref="B25:E25"/>
    <mergeCell ref="G25:I25"/>
    <mergeCell ref="B26:E26"/>
    <mergeCell ref="D12:O12"/>
    <mergeCell ref="B13:O13"/>
    <mergeCell ref="B15:O15"/>
    <mergeCell ref="B17:E17"/>
    <mergeCell ref="G17:J17"/>
    <mergeCell ref="N17:O21"/>
    <mergeCell ref="B18:E18"/>
    <mergeCell ref="G18:J18"/>
    <mergeCell ref="B19:E19"/>
    <mergeCell ref="G19:J19"/>
    <mergeCell ref="D11:O11"/>
    <mergeCell ref="B1:D2"/>
    <mergeCell ref="B3:D3"/>
    <mergeCell ref="D8:O8"/>
    <mergeCell ref="D9:O9"/>
    <mergeCell ref="D10:O10"/>
  </mergeCells>
  <printOptions headings="0" gridLines="0"/>
  <pageMargins left="0.21000000000000002" right="0.22000000000000003" top="0.74803149606299213" bottom="0.74803149606299213" header="0.31496062992125984" footer="0.31496062992125984"/>
  <pageSetup paperSize="9" scale="80" fitToWidth="1" fitToHeight="1" pageOrder="downThenOver" orientation="portrait" usePrinterDefaults="1" blackAndWhite="0" draft="0" cellComments="none" useFirstPageNumber="0" errors="displayed" horizontalDpi="4294967293" verticalDpi="4294967293" copies="1"/>
  <headerFooter/>
  <drawing r:id="rId2"/>
  <legacyDrawing r:id="rId3"/>
  <controls>
    <mc:AlternateContent xmlns:mc="http://schemas.openxmlformats.org/markup-compatibility/2006">
      <mc:Choice Requires="x14">
        <control name="Drop Down 1" shapeId="10240" r:id="rId1">
          <controlPr autoLine="0" autoPict="0" defaultSize="0">
            <anchor sizeWithCells="1">
              <from>
                <xdr:col>0</xdr:col>
                <xdr:colOff>336550</xdr:colOff>
                <xdr:row>2</xdr:row>
                <xdr:rowOff>95250</xdr:rowOff>
              </from>
              <to>
                <xdr:col>4</xdr:col>
                <xdr:colOff>279400</xdr:colOff>
                <xdr:row>4</xdr:row>
                <xdr:rowOff>107950</xdr:rowOff>
              </to>
            </anchor>
          </controlPr>
        </control>
      </mc:Choice>
      <mc:Fallback>
        <control name="Drop Down 1" shapeId="10240" r:id="rId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7">
    <outlinePr applyStyles="0" summaryBelow="1" summaryRight="1" showOutlineSymbols="1"/>
    <pageSetUpPr autoPageBreaks="1" fitToPage="0"/>
  </sheetPr>
  <sheetViews>
    <sheetView zoomScale="90" workbookViewId="0">
      <pane xSplit="8" ySplit="7" topLeftCell="I8" activePane="bottomRight" state="frozen"/>
      <selection activeCell="AS179" activeCellId="0" sqref="AS179"/>
    </sheetView>
  </sheetViews>
  <sheetFormatPr defaultRowHeight="14.5"/>
  <cols>
    <col bestFit="1" customWidth="1" min="1" max="1" width="4"/>
    <col bestFit="1" customWidth="1" min="2" max="2" style="240" width="9"/>
    <col bestFit="1" customWidth="1" min="4" max="4" width="36.81640625"/>
    <col bestFit="1" customWidth="1" min="5" max="5" width="5.54296875"/>
    <col bestFit="1" customWidth="1" min="7" max="7" width="20.26953125"/>
    <col bestFit="1" customWidth="1" min="8" max="8" width="5.54296875"/>
    <col bestFit="1" customWidth="1" min="9" max="9" width="36"/>
    <col bestFit="1" customWidth="1" min="10" max="10" width="24.54296875"/>
    <col bestFit="1" customWidth="1" min="11" max="11" width="10.7265625"/>
    <col bestFit="1" customWidth="1" min="12" max="12" width="8.54296875"/>
    <col bestFit="1" customWidth="1" min="15" max="15" width="21.54296875"/>
    <col bestFit="1" customWidth="1" min="19" max="19" width="10.453125"/>
    <col bestFit="1" customWidth="1" min="23" max="23" width="10.453125"/>
    <col bestFit="1" customWidth="1" min="28" max="28" width="7.81640625"/>
    <col bestFit="1" customWidth="1" min="29" max="29" width="8.1796875"/>
    <col bestFit="1" customWidth="1" min="30" max="30" width="11.81640625"/>
    <col bestFit="1" customWidth="1" min="31" max="31" width="7.1796875"/>
    <col bestFit="1" customWidth="1" min="32" max="32" width="15.1796875"/>
    <col bestFit="1" customWidth="1" min="33" max="33" width="18.54296875"/>
    <col bestFit="1" customWidth="1" min="37" max="37" width="20.54296875"/>
    <col bestFit="1" customWidth="1" min="44" max="44" width="13.81640625"/>
    <col customWidth="1" min="45" max="45" width="24.54296875"/>
    <col bestFit="1" customWidth="1" min="53" max="53" width="28.26953125"/>
  </cols>
  <sheetData>
    <row r="2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</row>
    <row r="4">
      <c r="B4" s="240">
        <v>1</v>
      </c>
      <c r="C4" s="241">
        <v>2</v>
      </c>
      <c r="D4">
        <v>3</v>
      </c>
      <c r="E4" s="241">
        <v>4</v>
      </c>
      <c r="F4">
        <v>5</v>
      </c>
      <c r="G4" s="241">
        <v>6</v>
      </c>
      <c r="H4">
        <v>7</v>
      </c>
      <c r="I4" s="241">
        <v>8</v>
      </c>
      <c r="J4">
        <v>9</v>
      </c>
      <c r="K4" s="241">
        <v>10</v>
      </c>
      <c r="L4">
        <v>11</v>
      </c>
      <c r="M4" s="241">
        <v>12</v>
      </c>
      <c r="N4">
        <v>13</v>
      </c>
      <c r="O4" s="241">
        <v>14</v>
      </c>
      <c r="P4">
        <v>15</v>
      </c>
      <c r="Q4" s="241">
        <v>16</v>
      </c>
      <c r="R4">
        <v>17</v>
      </c>
      <c r="S4" s="241">
        <v>18</v>
      </c>
      <c r="T4">
        <v>19</v>
      </c>
      <c r="U4" s="241">
        <v>20</v>
      </c>
      <c r="V4">
        <v>21</v>
      </c>
      <c r="W4" s="241">
        <v>22</v>
      </c>
      <c r="X4">
        <v>23</v>
      </c>
      <c r="Y4" s="241">
        <v>24</v>
      </c>
      <c r="Z4">
        <v>25</v>
      </c>
      <c r="AA4" s="241">
        <v>26</v>
      </c>
      <c r="AB4">
        <v>27</v>
      </c>
      <c r="AC4" s="241">
        <v>28</v>
      </c>
      <c r="AD4">
        <v>29</v>
      </c>
      <c r="AE4" s="241">
        <v>30</v>
      </c>
      <c r="AF4">
        <v>31</v>
      </c>
      <c r="AG4" s="241">
        <v>32</v>
      </c>
      <c r="AH4">
        <v>33</v>
      </c>
      <c r="AI4" s="241">
        <v>34</v>
      </c>
      <c r="AJ4">
        <v>35</v>
      </c>
      <c r="AK4" s="241">
        <v>36</v>
      </c>
      <c r="AL4">
        <v>37</v>
      </c>
      <c r="AM4" s="241">
        <v>38</v>
      </c>
      <c r="AN4">
        <v>39</v>
      </c>
      <c r="AO4" s="241">
        <v>40</v>
      </c>
      <c r="AP4">
        <v>41</v>
      </c>
      <c r="AQ4" s="241">
        <v>42</v>
      </c>
      <c r="AR4">
        <v>43</v>
      </c>
      <c r="AS4" s="241">
        <v>44</v>
      </c>
    </row>
    <row r="5">
      <c r="C5" s="242" t="s">
        <v>309</v>
      </c>
      <c r="D5" s="242" t="s">
        <v>310</v>
      </c>
      <c r="E5" s="242" t="s">
        <v>311</v>
      </c>
      <c r="F5" s="242" t="s">
        <v>312</v>
      </c>
      <c r="G5" s="242" t="s">
        <v>313</v>
      </c>
      <c r="H5" s="242" t="s">
        <v>311</v>
      </c>
      <c r="I5" s="242" t="s">
        <v>314</v>
      </c>
      <c r="J5" s="243" t="s">
        <v>18</v>
      </c>
      <c r="K5" s="244" t="s">
        <v>315</v>
      </c>
      <c r="L5" s="245"/>
      <c r="M5" s="245"/>
      <c r="N5" s="246"/>
      <c r="O5" s="242"/>
      <c r="P5" s="247"/>
      <c r="Q5" s="247"/>
      <c r="R5" s="247"/>
      <c r="S5" s="247"/>
      <c r="T5" s="247"/>
      <c r="U5" s="247"/>
      <c r="V5" s="248"/>
      <c r="W5" s="248"/>
      <c r="X5" s="248"/>
      <c r="Y5" s="248"/>
      <c r="Z5" s="242" t="s">
        <v>316</v>
      </c>
      <c r="AA5" s="242"/>
      <c r="AB5" s="249" t="s">
        <v>317</v>
      </c>
      <c r="AC5" s="250"/>
      <c r="AD5" s="251"/>
      <c r="AE5" s="249" t="s">
        <v>318</v>
      </c>
      <c r="AF5" s="250"/>
      <c r="AG5" s="250"/>
      <c r="AH5" s="251"/>
      <c r="AI5" s="249" t="s">
        <v>319</v>
      </c>
      <c r="AJ5" s="250"/>
      <c r="AK5" s="250"/>
      <c r="AL5" s="250"/>
      <c r="AM5" s="251"/>
      <c r="AN5" s="249" t="s">
        <v>320</v>
      </c>
      <c r="AO5" s="250"/>
      <c r="AP5" s="251"/>
      <c r="AQ5" s="252" t="s">
        <v>60</v>
      </c>
      <c r="AR5" s="253" t="s">
        <v>886</v>
      </c>
      <c r="AS5" s="254" t="s">
        <v>858</v>
      </c>
    </row>
    <row r="6">
      <c r="B6" s="255"/>
      <c r="C6" s="242"/>
      <c r="D6" s="242"/>
      <c r="E6" s="242"/>
      <c r="F6" s="242"/>
      <c r="G6" s="242"/>
      <c r="H6" s="242"/>
      <c r="I6" s="242"/>
      <c r="J6" s="243"/>
      <c r="K6" s="256"/>
      <c r="L6" s="257"/>
      <c r="M6" s="257"/>
      <c r="N6" s="258"/>
      <c r="O6" s="242"/>
      <c r="P6" s="259" t="s">
        <v>321</v>
      </c>
      <c r="Q6" s="260"/>
      <c r="R6" s="261"/>
      <c r="S6" s="260"/>
      <c r="T6" s="262" t="s">
        <v>322</v>
      </c>
      <c r="U6" s="263"/>
      <c r="V6" s="264"/>
      <c r="W6" s="261"/>
      <c r="X6" s="261"/>
      <c r="Y6" s="261"/>
      <c r="Z6" s="265" t="s">
        <v>323</v>
      </c>
      <c r="AA6" s="265" t="s">
        <v>324</v>
      </c>
      <c r="AB6" s="266"/>
      <c r="AC6" s="267"/>
      <c r="AD6" s="268"/>
      <c r="AE6" s="266"/>
      <c r="AF6" s="267"/>
      <c r="AG6" s="267"/>
      <c r="AH6" s="268"/>
      <c r="AI6" s="266"/>
      <c r="AJ6" s="267"/>
      <c r="AK6" s="267"/>
      <c r="AL6" s="267"/>
      <c r="AM6" s="268"/>
      <c r="AN6" s="266"/>
      <c r="AO6" s="267"/>
      <c r="AP6" s="268"/>
      <c r="AQ6" s="252"/>
      <c r="AR6" s="253"/>
      <c r="AS6" s="254"/>
    </row>
    <row r="7" ht="39">
      <c r="B7" s="255"/>
      <c r="C7" s="242"/>
      <c r="D7" s="269"/>
      <c r="E7" s="269"/>
      <c r="F7" s="269"/>
      <c r="G7" s="269"/>
      <c r="H7" s="269"/>
      <c r="I7" s="269"/>
      <c r="J7" s="270"/>
      <c r="K7" s="271" t="s">
        <v>328</v>
      </c>
      <c r="L7" s="271" t="s">
        <v>329</v>
      </c>
      <c r="M7" s="271" t="s">
        <v>330</v>
      </c>
      <c r="N7" s="271" t="s">
        <v>331</v>
      </c>
      <c r="O7" s="269"/>
      <c r="P7" s="272" t="s">
        <v>306</v>
      </c>
      <c r="Q7" s="273" t="s">
        <v>48</v>
      </c>
      <c r="R7" s="273" t="s">
        <v>49</v>
      </c>
      <c r="S7" s="273"/>
      <c r="T7" s="272" t="s">
        <v>306</v>
      </c>
      <c r="U7" s="273" t="s">
        <v>48</v>
      </c>
      <c r="V7" s="273" t="s">
        <v>49</v>
      </c>
      <c r="W7" s="273"/>
      <c r="X7" s="273" t="s">
        <v>49</v>
      </c>
      <c r="Y7" s="273" t="s">
        <v>49</v>
      </c>
      <c r="Z7" s="274"/>
      <c r="AA7" s="274"/>
      <c r="AB7" s="269" t="s">
        <v>332</v>
      </c>
      <c r="AC7" s="269" t="s">
        <v>333</v>
      </c>
      <c r="AD7" s="269" t="s">
        <v>334</v>
      </c>
      <c r="AE7" s="269" t="s">
        <v>313</v>
      </c>
      <c r="AF7" s="269" t="s">
        <v>335</v>
      </c>
      <c r="AG7" s="269" t="s">
        <v>336</v>
      </c>
      <c r="AH7" s="269" t="s">
        <v>337</v>
      </c>
      <c r="AI7" s="269" t="s">
        <v>338</v>
      </c>
      <c r="AJ7" s="265" t="s">
        <v>339</v>
      </c>
      <c r="AK7" s="265" t="s">
        <v>340</v>
      </c>
      <c r="AL7" s="265" t="s">
        <v>341</v>
      </c>
      <c r="AM7" s="265" t="s">
        <v>342</v>
      </c>
      <c r="AN7" s="265" t="s">
        <v>313</v>
      </c>
      <c r="AO7" s="265" t="s">
        <v>334</v>
      </c>
      <c r="AP7" s="265" t="s">
        <v>62</v>
      </c>
      <c r="AQ7" s="275"/>
      <c r="AR7" s="253"/>
      <c r="AS7" s="254"/>
      <c r="AT7" t="s">
        <v>887</v>
      </c>
    </row>
    <row r="8">
      <c r="A8">
        <f t="shared" ref="A8:A39" si="36">IF(B8=0," ",RANK(B8,$B$8:$B$178,1))</f>
        <v>21</v>
      </c>
      <c r="B8" s="276">
        <f t="shared" ref="B8:B9" si="37">R8-Q8</f>
        <v>1994</v>
      </c>
      <c r="C8" s="277">
        <v>1</v>
      </c>
      <c r="D8" s="219" t="str">
        <f>IFERROR(IF(ENTRI!B8=$AZ$9,$BA$9,IF(ENTRI!B8=$AZ$10,$BA$10,IF(ENTRI!B8=$AZ$11,$BA$11,IF(ENTRI!B8=$AZ$12,$BA$12,IF(ENTRI!B8=$AZ$13,$BA$13,IF(ENTRI!B8=$AZ$14,$BA$14,IF(ENTRI!B8=$AZ$15,$BA$15,IF(ENTRI!B8=$AZ$16,$BA$16,IF(ENTRI!B8=$AZ$17,$BA$17,IF(ENTRI!B8=$AZ$18,$BA$18," "))))))))))," ")</f>
        <v xml:space="preserve">RA Qomarul Hidayah</v>
      </c>
      <c r="E8" s="219" t="str">
        <f>IFERROR((ENTRI!C8)," ")</f>
        <v>02</v>
      </c>
      <c r="F8" s="219">
        <f t="shared" ref="F8:F15" si="38">A8</f>
        <v>21</v>
      </c>
      <c r="G8" s="219" t="str">
        <f>IFERROR((ENTRI!E8)," ")</f>
        <v>Guru</v>
      </c>
      <c r="H8" s="219" t="str">
        <f>IFERROR((ENTRI!F8)," ")</f>
        <v>01</v>
      </c>
      <c r="I8" s="219" t="str">
        <f>IFERROR((ENTRI!G8)," ")</f>
        <v>Hj.AZ.MUTIATUN,A.Ma</v>
      </c>
      <c r="J8" s="219" t="str">
        <f>IFERROR((ENTRI!H8)," ")</f>
        <v xml:space="preserve">19410413  200107 02 01 </v>
      </c>
      <c r="K8" s="219" t="str">
        <f>IFERROR((ENTRI!I8)," ")</f>
        <v>Trenggalek</v>
      </c>
      <c r="L8" s="219">
        <f>IFERROR((ENTRI!J8)," ")</f>
        <v>13</v>
      </c>
      <c r="M8" s="219" t="str">
        <f>IFERROR((ENTRI!K8)," ")</f>
        <v>04</v>
      </c>
      <c r="N8" s="219">
        <f>IFERROR((ENTRI!L8)," ")</f>
        <v>1941</v>
      </c>
      <c r="O8" s="219" t="str">
        <f t="shared" ref="O8:O15" si="39">K8&amp;","&amp;" "&amp;L8&amp;"-"&amp;M8&amp;"-"&amp;N8</f>
        <v xml:space="preserve">Trenggalek, 13-04-1941</v>
      </c>
      <c r="P8" s="219" t="str">
        <f>IFERROR((ENTRI!N8)," ")</f>
        <v>01</v>
      </c>
      <c r="Q8" s="219" t="str">
        <f>IFERROR((ENTRI!O8)," ")</f>
        <v>07</v>
      </c>
      <c r="R8" s="219">
        <f>IFERROR((ENTRI!P8)," ")</f>
        <v>2001</v>
      </c>
      <c r="S8" s="219" t="str">
        <f t="shared" ref="S8:S15" si="40">P8&amp;"-"&amp;Q8&amp;"-"&amp;R8</f>
        <v>01-07-2001</v>
      </c>
      <c r="T8" s="219" t="str">
        <f>IFERROR((ENTRI!Q8)," ")</f>
        <v>01</v>
      </c>
      <c r="U8" s="219" t="str">
        <f>IFERROR((ENTRI!R8)," ")</f>
        <v>07</v>
      </c>
      <c r="V8" s="219">
        <f>IFERROR((ENTRI!S8)," ")</f>
        <v>2001</v>
      </c>
      <c r="W8" s="219" t="str">
        <f t="shared" ref="W8:W15" si="41">T8&amp;"-"&amp;U8&amp;"-"&amp;V8</f>
        <v>01-07-2001</v>
      </c>
      <c r="X8" s="219">
        <f>IFERROR((ENTRI!T8)," ")</f>
        <v>24</v>
      </c>
      <c r="Y8" s="219">
        <f>IFERROR((ENTRI!U8)," ")</f>
        <v>24</v>
      </c>
      <c r="Z8" s="219">
        <f>IFERROR((ENTRI!V8)," ")</f>
        <v>24</v>
      </c>
      <c r="AA8" s="219">
        <f>IFERROR((ENTRI!W8)," ")</f>
        <v>24</v>
      </c>
      <c r="AB8" s="219" t="str">
        <f>IFERROR((ENTRI!X8)," ")</f>
        <v xml:space="preserve">D II</v>
      </c>
      <c r="AC8" s="219" t="str">
        <f>IFERROR((ENTRI!Y8)," ")</f>
        <v>PAI</v>
      </c>
      <c r="AD8" s="219">
        <f>IFERROR((ENTRI!Z8)," ")</f>
        <v>1995</v>
      </c>
      <c r="AE8" s="219" t="str">
        <f>IFERROR((ENTRI!AA8)," ")</f>
        <v>BELUM</v>
      </c>
      <c r="AF8" s="219">
        <f>IFERROR((ENTRI!AB8)," ")</f>
        <v>0</v>
      </c>
      <c r="AG8" s="219" t="str">
        <f>IFERROR((ENTRI!AC8)," ")</f>
        <v xml:space="preserve"> </v>
      </c>
      <c r="AH8" s="219">
        <f>IFERROR((ENTRI!AD8)," ")</f>
        <v>0</v>
      </c>
      <c r="AI8" s="219" t="str">
        <f>IFERROR((ENTRI!AE8)," ")</f>
        <v xml:space="preserve">Guru Kelas</v>
      </c>
      <c r="AJ8" s="219">
        <f>IFERROR((ENTRI!AF8)," ")</f>
        <v>0</v>
      </c>
      <c r="AK8" s="219" t="str">
        <f>IFERROR((ENTRI!AG8)," ")</f>
        <v xml:space="preserve">Kepala Sekolah</v>
      </c>
      <c r="AL8" s="219">
        <f>IFERROR((ENTRI!AH8)," ")</f>
        <v>18</v>
      </c>
      <c r="AM8" s="219">
        <f>IFERROR((ENTRI!AI8)," ")</f>
        <v>18</v>
      </c>
      <c r="AN8" s="219" t="str">
        <f>IFERROR((ENTRI!AJ8)," ")</f>
        <v>BELUM</v>
      </c>
      <c r="AO8" s="219">
        <f>IFERROR((ENTRI!AK8)," ")</f>
        <v>0</v>
      </c>
      <c r="AP8" s="219">
        <f>IFERROR((ENTRI!AL8)," ")</f>
        <v>0</v>
      </c>
      <c r="AQ8" s="219" t="str">
        <f>IFERROR((ENTRI!AM8)," ")</f>
        <v>-</v>
      </c>
      <c r="AR8" s="216" t="str">
        <f>E8&amp;"."&amp;H8&amp;"."&amp;AW8&amp;"."&amp;ENTRI!$E$4</f>
        <v>02.01.001.2025</v>
      </c>
      <c r="AS8" t="str">
        <f>"YPP.QH/KP.01."&amp;E8&amp;"/"&amp;AW8&amp;"/"&amp;ENTRI!$E$4</f>
        <v>YPP.QH/KP.01.02/001/2025</v>
      </c>
      <c r="AT8">
        <f>IF(E8=2,2,IF(E8=3,3,IF(E8=4,4,IF(E8=5,5,IF(E8=6,6,7)))))</f>
        <v>7</v>
      </c>
      <c r="AW8" s="277" t="s">
        <v>888</v>
      </c>
    </row>
    <row r="9">
      <c r="A9">
        <f t="shared" si="36"/>
        <v>27</v>
      </c>
      <c r="B9" s="276">
        <f t="shared" si="37"/>
        <v>1996</v>
      </c>
      <c r="C9" s="277">
        <v>2</v>
      </c>
      <c r="D9" s="219" t="str">
        <f>IFERROR(IF(ENTRI!B9=$AZ$9,$BA$9,IF(ENTRI!B9=$AZ$10,$BA$10,IF(ENTRI!B9=$AZ$11,$BA$11,IF(ENTRI!B9=$AZ$12,$BA$12,IF(ENTRI!B9=$AZ$13,$BA$13,IF(ENTRI!B9=$AZ$14,$BA$14,IF(ENTRI!B9=$AZ$15,$BA$15,IF(ENTRI!B9=$AZ$16,$BA$16,IF(ENTRI!B9=$AZ$17,$BA$17,IF(ENTRI!B9=$AZ$18,$BA$18," "))))))))))," ")</f>
        <v xml:space="preserve">RA Qomarul Hidayah</v>
      </c>
      <c r="E9" s="219" t="str">
        <f>IFERROR((ENTRI!C9)," ")</f>
        <v>02</v>
      </c>
      <c r="F9" s="219">
        <f t="shared" si="38"/>
        <v>27</v>
      </c>
      <c r="G9" s="219" t="str">
        <f>IFERROR((ENTRI!E9)," ")</f>
        <v>Guru</v>
      </c>
      <c r="H9" s="219" t="str">
        <f>IFERROR((ENTRI!F9)," ")</f>
        <v>01</v>
      </c>
      <c r="I9" s="219" t="str">
        <f>IFERROR((ENTRI!G9)," ")</f>
        <v xml:space="preserve">RINA WIJAYANTI,S.Pd.I</v>
      </c>
      <c r="J9" s="219" t="str">
        <f>IFERROR((ENTRI!H9)," ")</f>
        <v xml:space="preserve">19850425  200307 02 01 </v>
      </c>
      <c r="K9" s="219" t="str">
        <f>IFERROR((ENTRI!I9)," ")</f>
        <v>Trenggalek</v>
      </c>
      <c r="L9" s="219">
        <f>IFERROR((ENTRI!J9)," ")</f>
        <v>25</v>
      </c>
      <c r="M9" s="219" t="str">
        <f>IFERROR((ENTRI!K9)," ")</f>
        <v>04</v>
      </c>
      <c r="N9" s="219">
        <f>IFERROR((ENTRI!L9)," ")</f>
        <v>1985</v>
      </c>
      <c r="O9" s="219" t="str">
        <f t="shared" si="39"/>
        <v xml:space="preserve">Trenggalek, 25-04-1985</v>
      </c>
      <c r="P9" s="219" t="str">
        <f>IFERROR((ENTRI!N9)," ")</f>
        <v>01</v>
      </c>
      <c r="Q9" s="219" t="str">
        <f>IFERROR((ENTRI!O9)," ")</f>
        <v>07</v>
      </c>
      <c r="R9" s="219">
        <f>IFERROR((ENTRI!P9)," ")</f>
        <v>2003</v>
      </c>
      <c r="S9" s="219" t="str">
        <f t="shared" si="40"/>
        <v>01-07-2003</v>
      </c>
      <c r="T9" s="219" t="str">
        <f>IFERROR((ENTRI!Q9)," ")</f>
        <v>01</v>
      </c>
      <c r="U9" s="219" t="str">
        <f>IFERROR((ENTRI!R9)," ")</f>
        <v>07</v>
      </c>
      <c r="V9" s="219">
        <f>IFERROR((ENTRI!S9)," ")</f>
        <v>2003</v>
      </c>
      <c r="W9" s="219" t="str">
        <f t="shared" si="41"/>
        <v>01-07-2003</v>
      </c>
      <c r="X9" s="219">
        <f>IFERROR((ENTRI!T9)," ")</f>
        <v>22</v>
      </c>
      <c r="Y9" s="219">
        <f>IFERROR((ENTRI!U9)," ")</f>
        <v>22</v>
      </c>
      <c r="Z9" s="219">
        <f>IFERROR((ENTRI!V9)," ")</f>
        <v>22</v>
      </c>
      <c r="AA9" s="219">
        <f>IFERROR((ENTRI!W9)," ")</f>
        <v>22</v>
      </c>
      <c r="AB9" s="219" t="str">
        <f>IFERROR((ENTRI!X9)," ")</f>
        <v>S1</v>
      </c>
      <c r="AC9" s="219" t="str">
        <f>IFERROR((ENTRI!Y9)," ")</f>
        <v>PAI</v>
      </c>
      <c r="AD9" s="219">
        <f>IFERROR((ENTRI!Z9)," ")</f>
        <v>2008</v>
      </c>
      <c r="AE9" s="219" t="str">
        <f>IFERROR((ENTRI!AA9)," ")</f>
        <v>SUDAH</v>
      </c>
      <c r="AF9" s="219" t="str">
        <f>IFERROR((ENTRI!AB9)," ")</f>
        <v xml:space="preserve">GURU PERTAMA</v>
      </c>
      <c r="AG9" s="219" t="str">
        <f>IFERROR((ENTRI!AC9)," ")</f>
        <v xml:space="preserve">PENATA MUDA </v>
      </c>
      <c r="AH9" s="219" t="str">
        <f>IFERROR((ENTRI!AD9)," ")</f>
        <v xml:space="preserve">III A</v>
      </c>
      <c r="AI9" s="219" t="str">
        <f>IFERROR((ENTRI!AE9)," ")</f>
        <v xml:space="preserve">Guru Kelas</v>
      </c>
      <c r="AJ9" s="219">
        <f>IFERROR((ENTRI!AF9)," ")</f>
        <v>30</v>
      </c>
      <c r="AK9" s="219" t="str">
        <f>IFERROR((ENTRI!AG9)," ")</f>
        <v>-</v>
      </c>
      <c r="AL9" s="219" t="str">
        <f>IFERROR((ENTRI!AH9)," ")</f>
        <v>-</v>
      </c>
      <c r="AM9" s="219" t="str">
        <f>IFERROR((ENTRI!AI9)," ")</f>
        <v xml:space="preserve"> </v>
      </c>
      <c r="AN9" s="219" t="str">
        <f>IFERROR((ENTRI!AJ9)," ")</f>
        <v>SUDAH</v>
      </c>
      <c r="AO9" s="219">
        <f>IFERROR((ENTRI!AK9)," ")</f>
        <v>2014</v>
      </c>
      <c r="AP9" s="219">
        <f>IFERROR((ENTRI!AL9)," ")</f>
        <v>0</v>
      </c>
      <c r="AQ9" s="219" t="str">
        <f>IFERROR((ENTRI!AM9)," ")</f>
        <v>4757763664300032</v>
      </c>
      <c r="AR9" s="216" t="str">
        <f>E9&amp;"."&amp;H9&amp;"."&amp;AW9&amp;"."&amp;ENTRI!$E$4</f>
        <v>02.01.002.2025</v>
      </c>
      <c r="AS9" t="str">
        <f>"YPP.QH/KP.01."&amp;E9&amp;"/"&amp;AW9&amp;"/"&amp;ENTRI!$E$4</f>
        <v>YPP.QH/KP.01.02/002/2025</v>
      </c>
      <c r="AW9" s="277" t="s">
        <v>889</v>
      </c>
      <c r="AZ9" t="s">
        <v>375</v>
      </c>
      <c r="BA9" t="s">
        <v>890</v>
      </c>
    </row>
    <row r="10">
      <c r="A10">
        <f t="shared" si="36"/>
        <v>75</v>
      </c>
      <c r="B10" s="276">
        <f t="shared" ref="B10:B73" si="42">R10-Q10</f>
        <v>2004</v>
      </c>
      <c r="C10" s="277">
        <v>3</v>
      </c>
      <c r="D10" s="219" t="str">
        <f>IFERROR(IF(ENTRI!B10=$AZ$9,$BA$9,IF(ENTRI!B10=$AZ$10,$BA$10,IF(ENTRI!B10=$AZ$11,$BA$11,IF(ENTRI!B10=$AZ$12,$BA$12,IF(ENTRI!B10=$AZ$13,$BA$13,IF(ENTRI!B10=$AZ$14,$BA$14,IF(ENTRI!B10=$AZ$15,$BA$15,IF(ENTRI!B10=$AZ$16,$BA$16,IF(ENTRI!B10=$AZ$17,$BA$17,IF(ENTRI!B10=$AZ$18,$BA$18," "))))))))))," ")</f>
        <v xml:space="preserve">RA Qomarul Hidayah</v>
      </c>
      <c r="E10" s="219" t="str">
        <f>IFERROR((ENTRI!C10)," ")</f>
        <v>02</v>
      </c>
      <c r="F10" s="219">
        <f t="shared" si="38"/>
        <v>75</v>
      </c>
      <c r="G10" s="219" t="str">
        <f>IFERROR((ENTRI!E10)," ")</f>
        <v>Guru</v>
      </c>
      <c r="H10" s="219" t="str">
        <f>IFERROR((ENTRI!F10)," ")</f>
        <v>01</v>
      </c>
      <c r="I10" s="219" t="str">
        <f>IFERROR((ENTRI!G10)," ")</f>
        <v xml:space="preserve">HIDAYATUL LAILI,S.Ag</v>
      </c>
      <c r="J10" s="219" t="str">
        <f>IFERROR((ENTRI!H10)," ")</f>
        <v xml:space="preserve">19731025  200501 02 01 </v>
      </c>
      <c r="K10" s="219" t="str">
        <f>IFERROR((ENTRI!I10)," ")</f>
        <v>Trenggalek</v>
      </c>
      <c r="L10" s="219">
        <f>IFERROR((ENTRI!J10)," ")</f>
        <v>25</v>
      </c>
      <c r="M10" s="219">
        <f>IFERROR((ENTRI!K10)," ")</f>
        <v>10</v>
      </c>
      <c r="N10" s="219">
        <f>IFERROR((ENTRI!L10)," ")</f>
        <v>1973</v>
      </c>
      <c r="O10" s="219" t="str">
        <f t="shared" si="39"/>
        <v xml:space="preserve">Trenggalek, 25-10-1973</v>
      </c>
      <c r="P10" s="219" t="str">
        <f>IFERROR((ENTRI!N10)," ")</f>
        <v>02</v>
      </c>
      <c r="Q10" s="219" t="str">
        <f>IFERROR((ENTRI!O10)," ")</f>
        <v>01</v>
      </c>
      <c r="R10" s="219">
        <f>IFERROR((ENTRI!P10)," ")</f>
        <v>2005</v>
      </c>
      <c r="S10" s="219" t="str">
        <f t="shared" si="40"/>
        <v>02-01-2005</v>
      </c>
      <c r="T10" s="219" t="str">
        <f>IFERROR((ENTRI!Q10)," ")</f>
        <v>02</v>
      </c>
      <c r="U10" s="219" t="str">
        <f>IFERROR((ENTRI!R10)," ")</f>
        <v>01</v>
      </c>
      <c r="V10" s="219">
        <f>IFERROR((ENTRI!S10)," ")</f>
        <v>2005</v>
      </c>
      <c r="W10" s="219" t="str">
        <f t="shared" si="41"/>
        <v>02-01-2005</v>
      </c>
      <c r="X10" s="219">
        <f>IFERROR((ENTRI!T10)," ")</f>
        <v>20</v>
      </c>
      <c r="Y10" s="219">
        <f>IFERROR((ENTRI!U10)," ")</f>
        <v>20</v>
      </c>
      <c r="Z10" s="219">
        <f>IFERROR((ENTRI!V10)," ")</f>
        <v>20</v>
      </c>
      <c r="AA10" s="219">
        <f>IFERROR((ENTRI!W10)," ")</f>
        <v>20</v>
      </c>
      <c r="AB10" s="219" t="str">
        <f>IFERROR((ENTRI!X10)," ")</f>
        <v>S1</v>
      </c>
      <c r="AC10" s="219" t="str">
        <f>IFERROR((ENTRI!Y10)," ")</f>
        <v>PAI</v>
      </c>
      <c r="AD10" s="219">
        <f>IFERROR((ENTRI!Z10)," ")</f>
        <v>1995</v>
      </c>
      <c r="AE10" s="219" t="str">
        <f>IFERROR((ENTRI!AA10)," ")</f>
        <v>SUDAH</v>
      </c>
      <c r="AF10" s="219" t="str">
        <f>IFERROR((ENTRI!AB10)," ")</f>
        <v xml:space="preserve">GURU MADYA</v>
      </c>
      <c r="AG10" s="219" t="str">
        <f>IFERROR((ENTRI!AC10)," ")</f>
        <v xml:space="preserve">PENATA MUDA TK. I</v>
      </c>
      <c r="AH10" s="219" t="str">
        <f>IFERROR((ENTRI!AD10)," ")</f>
        <v xml:space="preserve">III B</v>
      </c>
      <c r="AI10" s="219" t="str">
        <f>IFERROR((ENTRI!AE10)," ")</f>
        <v xml:space="preserve">Guru Kelas</v>
      </c>
      <c r="AJ10" s="219">
        <f>IFERROR((ENTRI!AF10)," ")</f>
        <v>30</v>
      </c>
      <c r="AK10" s="219" t="str">
        <f>IFERROR((ENTRI!AG10)," ")</f>
        <v>-</v>
      </c>
      <c r="AL10" s="219" t="str">
        <f>IFERROR((ENTRI!AH10)," ")</f>
        <v>-</v>
      </c>
      <c r="AM10" s="219" t="str">
        <f>IFERROR((ENTRI!AI10)," ")</f>
        <v xml:space="preserve"> </v>
      </c>
      <c r="AN10" s="219" t="str">
        <f>IFERROR((ENTRI!AJ10)," ")</f>
        <v>SUDAH</v>
      </c>
      <c r="AO10" s="219">
        <f>IFERROR((ENTRI!AK10)," ")</f>
        <v>2012</v>
      </c>
      <c r="AP10" s="219" t="str">
        <f>IFERROR((ENTRI!AL10)," ")</f>
        <v>120212191003</v>
      </c>
      <c r="AQ10" s="219" t="str">
        <f>IFERROR((ENTRI!AM10)," ")</f>
        <v>1357751652300013</v>
      </c>
      <c r="AR10" s="216" t="str">
        <f>E10&amp;"."&amp;H10&amp;"."&amp;AW10&amp;"."&amp;ENTRI!$E$4</f>
        <v>02.01.003.2025</v>
      </c>
      <c r="AS10" t="str">
        <f>"YPP.QH/KP.01."&amp;E10&amp;"/"&amp;AW10&amp;"/"&amp;ENTRI!$E$4</f>
        <v>YPP.QH/KP.01.02/003/2025</v>
      </c>
      <c r="AW10" s="277" t="s">
        <v>891</v>
      </c>
      <c r="AZ10" t="s">
        <v>345</v>
      </c>
      <c r="BA10" t="s">
        <v>892</v>
      </c>
    </row>
    <row r="11">
      <c r="A11">
        <f t="shared" si="36"/>
        <v>50</v>
      </c>
      <c r="B11" s="276">
        <f t="shared" si="42"/>
        <v>1999</v>
      </c>
      <c r="C11" s="277">
        <v>4</v>
      </c>
      <c r="D11" s="219" t="str">
        <f>IFERROR(IF(ENTRI!B11=$AZ$9,$BA$9,IF(ENTRI!B11=$AZ$10,$BA$10,IF(ENTRI!B11=$AZ$11,$BA$11,IF(ENTRI!B11=$AZ$12,$BA$12,IF(ENTRI!B11=$AZ$13,$BA$13,IF(ENTRI!B11=$AZ$14,$BA$14,IF(ENTRI!B11=$AZ$15,$BA$15,IF(ENTRI!B11=$AZ$16,$BA$16,IF(ENTRI!B11=$AZ$17,$BA$17,IF(ENTRI!B11=$AZ$18,$BA$18," "))))))))))," ")</f>
        <v xml:space="preserve">RA Qomarul Hidayah</v>
      </c>
      <c r="E11" s="219" t="str">
        <f>IFERROR((ENTRI!C11)," ")</f>
        <v>02</v>
      </c>
      <c r="F11" s="219">
        <f t="shared" si="38"/>
        <v>50</v>
      </c>
      <c r="G11" s="219" t="str">
        <f>IFERROR((ENTRI!E11)," ")</f>
        <v>Guru</v>
      </c>
      <c r="H11" s="219" t="str">
        <f>IFERROR((ENTRI!F11)," ")</f>
        <v>01</v>
      </c>
      <c r="I11" s="219" t="str">
        <f>IFERROR((ENTRI!G11)," ")</f>
        <v xml:space="preserve">RENI FARICHA ARIANI,S.Pd.I</v>
      </c>
      <c r="J11" s="219" t="str">
        <f>IFERROR((ENTRI!H11)," ")</f>
        <v xml:space="preserve">19850116  200607 02 01 </v>
      </c>
      <c r="K11" s="219" t="str">
        <f>IFERROR((ENTRI!I11)," ")</f>
        <v>Trenggalek</v>
      </c>
      <c r="L11" s="219">
        <f>IFERROR((ENTRI!J11)," ")</f>
        <v>16</v>
      </c>
      <c r="M11" s="219" t="str">
        <f>IFERROR((ENTRI!K11)," ")</f>
        <v>01</v>
      </c>
      <c r="N11" s="219">
        <f>IFERROR((ENTRI!L11)," ")</f>
        <v>1985</v>
      </c>
      <c r="O11" s="219" t="str">
        <f t="shared" si="39"/>
        <v xml:space="preserve">Trenggalek, 16-01-1985</v>
      </c>
      <c r="P11" s="219" t="str">
        <f>IFERROR((ENTRI!N11)," ")</f>
        <v>01</v>
      </c>
      <c r="Q11" s="219" t="str">
        <f>IFERROR((ENTRI!O11)," ")</f>
        <v>07</v>
      </c>
      <c r="R11" s="219">
        <f>IFERROR((ENTRI!P11)," ")</f>
        <v>2006</v>
      </c>
      <c r="S11" s="219" t="str">
        <f t="shared" si="40"/>
        <v>01-07-2006</v>
      </c>
      <c r="T11" s="219" t="str">
        <f>IFERROR((ENTRI!Q11)," ")</f>
        <v>01</v>
      </c>
      <c r="U11" s="219" t="str">
        <f>IFERROR((ENTRI!R11)," ")</f>
        <v>07</v>
      </c>
      <c r="V11" s="219">
        <f>IFERROR((ENTRI!S11)," ")</f>
        <v>2006</v>
      </c>
      <c r="W11" s="219" t="str">
        <f t="shared" si="41"/>
        <v>01-07-2006</v>
      </c>
      <c r="X11" s="219">
        <f>IFERROR((ENTRI!T11)," ")</f>
        <v>19</v>
      </c>
      <c r="Y11" s="219">
        <f>IFERROR((ENTRI!U11)," ")</f>
        <v>19</v>
      </c>
      <c r="Z11" s="219">
        <f>IFERROR((ENTRI!V11)," ")</f>
        <v>19</v>
      </c>
      <c r="AA11" s="219">
        <f>IFERROR((ENTRI!W11)," ")</f>
        <v>19</v>
      </c>
      <c r="AB11" s="219" t="str">
        <f>IFERROR((ENTRI!X11)," ")</f>
        <v>S1</v>
      </c>
      <c r="AC11" s="219" t="str">
        <f>IFERROR((ENTRI!Y11)," ")</f>
        <v>PGMI</v>
      </c>
      <c r="AD11" s="219">
        <f>IFERROR((ENTRI!Z11)," ")</f>
        <v>2012</v>
      </c>
      <c r="AE11" s="219" t="str">
        <f>IFERROR((ENTRI!AA11)," ")</f>
        <v>BELUM</v>
      </c>
      <c r="AF11" s="219">
        <f>IFERROR((ENTRI!AB11)," ")</f>
        <v>0</v>
      </c>
      <c r="AG11" s="219" t="str">
        <f>IFERROR((ENTRI!AC11)," ")</f>
        <v xml:space="preserve"> </v>
      </c>
      <c r="AH11" s="219">
        <f>IFERROR((ENTRI!AD11)," ")</f>
        <v>0</v>
      </c>
      <c r="AI11" s="219" t="str">
        <f>IFERROR((ENTRI!AE11)," ")</f>
        <v xml:space="preserve">Guru Kelas</v>
      </c>
      <c r="AJ11" s="219">
        <f>IFERROR((ENTRI!AF11)," ")</f>
        <v>30</v>
      </c>
      <c r="AK11" s="219" t="str">
        <f>IFERROR((ENTRI!AG11)," ")</f>
        <v>-</v>
      </c>
      <c r="AL11" s="219" t="str">
        <f>IFERROR((ENTRI!AH11)," ")</f>
        <v>-</v>
      </c>
      <c r="AM11" s="219" t="str">
        <f>IFERROR((ENTRI!AI11)," ")</f>
        <v xml:space="preserve"> </v>
      </c>
      <c r="AN11" s="219" t="str">
        <f>IFERROR((ENTRI!AJ11)," ")</f>
        <v>BELUM</v>
      </c>
      <c r="AO11" s="219">
        <f>IFERROR((ENTRI!AK11)," ")</f>
        <v>0</v>
      </c>
      <c r="AP11" s="219">
        <f>IFERROR((ENTRI!AL11)," ")</f>
        <v>0</v>
      </c>
      <c r="AQ11" s="219" t="str">
        <f>IFERROR((ENTRI!AM11)," ")</f>
        <v>3448763664300032</v>
      </c>
      <c r="AR11" s="216" t="str">
        <f>E11&amp;"."&amp;H11&amp;"."&amp;AW11&amp;"."&amp;ENTRI!$E$4</f>
        <v>02.01.004.2025</v>
      </c>
      <c r="AS11" t="str">
        <f>"YPP.QH/KP.01."&amp;E11&amp;"/"&amp;AW11&amp;"/"&amp;ENTRI!$E$4</f>
        <v>YPP.QH/KP.01.02/004/2025</v>
      </c>
      <c r="AW11" s="277" t="s">
        <v>893</v>
      </c>
      <c r="AZ11" t="s">
        <v>395</v>
      </c>
      <c r="BA11" t="s">
        <v>894</v>
      </c>
    </row>
    <row r="12">
      <c r="A12">
        <f t="shared" si="36"/>
        <v>53</v>
      </c>
      <c r="B12" s="276">
        <f t="shared" si="42"/>
        <v>2000</v>
      </c>
      <c r="C12" s="277">
        <v>5</v>
      </c>
      <c r="D12" s="219" t="str">
        <f>IFERROR(IF(ENTRI!B12=$AZ$9,$BA$9,IF(ENTRI!B12=$AZ$10,$BA$10,IF(ENTRI!B12=$AZ$11,$BA$11,IF(ENTRI!B12=$AZ$12,$BA$12,IF(ENTRI!B12=$AZ$13,$BA$13,IF(ENTRI!B12=$AZ$14,$BA$14,IF(ENTRI!B12=$AZ$15,$BA$15,IF(ENTRI!B12=$AZ$16,$BA$16,IF(ENTRI!B12=$AZ$17,$BA$17,IF(ENTRI!B12=$AZ$18,$BA$18," "))))))))))," ")</f>
        <v xml:space="preserve">PAUD Qomarul Hidayah</v>
      </c>
      <c r="E12" s="219" t="str">
        <f>IFERROR((ENTRI!C12)," ")</f>
        <v>01</v>
      </c>
      <c r="F12" s="219">
        <f t="shared" si="38"/>
        <v>53</v>
      </c>
      <c r="G12" s="219" t="str">
        <f>IFERROR((ENTRI!E12)," ")</f>
        <v>Guru</v>
      </c>
      <c r="H12" s="219" t="str">
        <f>IFERROR((ENTRI!F12)," ")</f>
        <v>01</v>
      </c>
      <c r="I12" s="219" t="str">
        <f>IFERROR((ENTRI!G12)," ")</f>
        <v>ISTIQOMAH</v>
      </c>
      <c r="J12" s="219" t="str">
        <f>IFERROR((ENTRI!H12)," ")</f>
        <v xml:space="preserve">19830614  200707 01 01 </v>
      </c>
      <c r="K12" s="219" t="str">
        <f>IFERROR((ENTRI!I12)," ")</f>
        <v>Trenggalek</v>
      </c>
      <c r="L12" s="219">
        <f>IFERROR((ENTRI!J12)," ")</f>
        <v>14</v>
      </c>
      <c r="M12" s="219" t="str">
        <f>IFERROR((ENTRI!K12)," ")</f>
        <v>06</v>
      </c>
      <c r="N12" s="219">
        <f>IFERROR((ENTRI!L12)," ")</f>
        <v>1983</v>
      </c>
      <c r="O12" s="219" t="str">
        <f t="shared" si="39"/>
        <v xml:space="preserve">Trenggalek, 14-06-1983</v>
      </c>
      <c r="P12" s="219">
        <f>IFERROR((ENTRI!N12)," ")</f>
        <v>16</v>
      </c>
      <c r="Q12" s="219" t="str">
        <f>IFERROR((ENTRI!O12)," ")</f>
        <v>07</v>
      </c>
      <c r="R12" s="219">
        <f>IFERROR((ENTRI!P12)," ")</f>
        <v>2007</v>
      </c>
      <c r="S12" s="219" t="str">
        <f t="shared" si="40"/>
        <v>16-07-2007</v>
      </c>
      <c r="T12" s="219">
        <f>IFERROR((ENTRI!Q12)," ")</f>
        <v>16</v>
      </c>
      <c r="U12" s="219" t="str">
        <f>IFERROR((ENTRI!R12)," ")</f>
        <v>07</v>
      </c>
      <c r="V12" s="219">
        <f>IFERROR((ENTRI!S12)," ")</f>
        <v>2007</v>
      </c>
      <c r="W12" s="219" t="str">
        <f t="shared" si="41"/>
        <v>16-07-2007</v>
      </c>
      <c r="X12" s="219">
        <f>IFERROR((ENTRI!T12)," ")</f>
        <v>18</v>
      </c>
      <c r="Y12" s="219">
        <f>IFERROR((ENTRI!U12)," ")</f>
        <v>18</v>
      </c>
      <c r="Z12" s="219">
        <f>IFERROR((ENTRI!V12)," ")</f>
        <v>18</v>
      </c>
      <c r="AA12" s="219">
        <f>IFERROR((ENTRI!W12)," ")</f>
        <v>18</v>
      </c>
      <c r="AB12" s="219" t="str">
        <f>IFERROR((ENTRI!X12)," ")</f>
        <v>S1</v>
      </c>
      <c r="AC12" s="219" t="str">
        <f>IFERROR((ENTRI!Y12)," ")</f>
        <v>PAUD</v>
      </c>
      <c r="AD12" s="219">
        <f>IFERROR((ENTRI!Z12)," ")</f>
        <v>2002</v>
      </c>
      <c r="AE12" s="219" t="str">
        <f>IFERROR((ENTRI!AA12)," ")</f>
        <v>BELUM</v>
      </c>
      <c r="AF12" s="219" t="str">
        <f>IFERROR((ENTRI!AB12)," ")</f>
        <v xml:space="preserve">GURU PERTAMA</v>
      </c>
      <c r="AG12" s="219" t="str">
        <f>IFERROR((ENTRI!AC12)," ")</f>
        <v xml:space="preserve"> </v>
      </c>
      <c r="AH12" s="219">
        <f>IFERROR((ENTRI!AD12)," ")</f>
        <v>0</v>
      </c>
      <c r="AI12" s="219" t="str">
        <f>IFERROR((ENTRI!AE12)," ")</f>
        <v xml:space="preserve">Guru sentra</v>
      </c>
      <c r="AJ12" s="219">
        <f>IFERROR((ENTRI!AF12)," ")</f>
        <v>26</v>
      </c>
      <c r="AK12" s="219" t="str">
        <f>IFERROR((ENTRI!AG12)," ")</f>
        <v>-</v>
      </c>
      <c r="AL12" s="219" t="str">
        <f>IFERROR((ENTRI!AH12)," ")</f>
        <v>-</v>
      </c>
      <c r="AM12" s="219" t="str">
        <f>IFERROR((ENTRI!AI12)," ")</f>
        <v xml:space="preserve"> </v>
      </c>
      <c r="AN12" s="219" t="str">
        <f>IFERROR((ENTRI!AJ12)," ")</f>
        <v>SUDAH</v>
      </c>
      <c r="AO12" s="219">
        <f>IFERROR((ENTRI!AK12)," ")</f>
        <v>2010</v>
      </c>
      <c r="AP12" s="219" t="str">
        <f>IFERROR((ENTRI!AL12)," ")</f>
        <v>021389407006</v>
      </c>
      <c r="AQ12" s="219" t="str">
        <f>IFERROR((ENTRI!AM12)," ")</f>
        <v>1641746650300012</v>
      </c>
      <c r="AR12" s="216" t="str">
        <f>E12&amp;"."&amp;H12&amp;"."&amp;AW12&amp;"."&amp;ENTRI!$E$4</f>
        <v>01.01.005.2025</v>
      </c>
      <c r="AS12" t="str">
        <f>"YPP.QH/KP.01."&amp;E12&amp;"/"&amp;AW12&amp;"/"&amp;ENTRI!$E$4</f>
        <v>YPP.QH/KP.01.01/005/2025</v>
      </c>
      <c r="AW12" s="277" t="s">
        <v>895</v>
      </c>
      <c r="AZ12" t="s">
        <v>896</v>
      </c>
      <c r="BA12" t="s">
        <v>897</v>
      </c>
    </row>
    <row r="13">
      <c r="A13">
        <f t="shared" si="36"/>
        <v>60</v>
      </c>
      <c r="B13" s="276">
        <f t="shared" si="42"/>
        <v>2001</v>
      </c>
      <c r="C13" s="277">
        <v>6</v>
      </c>
      <c r="D13" s="219" t="str">
        <f>IFERROR(IF(ENTRI!B13=$AZ$9,$BA$9,IF(ENTRI!B13=$AZ$10,$BA$10,IF(ENTRI!B13=$AZ$11,$BA$11,IF(ENTRI!B13=$AZ$12,$BA$12,IF(ENTRI!B13=$AZ$13,$BA$13,IF(ENTRI!B13=$AZ$14,$BA$14,IF(ENTRI!B13=$AZ$15,$BA$15,IF(ENTRI!B13=$AZ$16,$BA$16,IF(ENTRI!B13=$AZ$17,$BA$17,IF(ENTRI!B13=$AZ$18,$BA$18," "))))))))))," ")</f>
        <v xml:space="preserve">PAUD Qomarul Hidayah</v>
      </c>
      <c r="E13" s="219" t="str">
        <f>IFERROR((ENTRI!C13)," ")</f>
        <v>01</v>
      </c>
      <c r="F13" s="219">
        <f t="shared" si="38"/>
        <v>60</v>
      </c>
      <c r="G13" s="219" t="str">
        <f>IFERROR((ENTRI!E13)," ")</f>
        <v>Guru</v>
      </c>
      <c r="H13" s="219" t="str">
        <f>IFERROR((ENTRI!F13)," ")</f>
        <v>01</v>
      </c>
      <c r="I13" s="219" t="str">
        <f>IFERROR((ENTRI!G13)," ")</f>
        <v xml:space="preserve">IKA SULISTIOWATI</v>
      </c>
      <c r="J13" s="219" t="str">
        <f>IFERROR((ENTRI!H13)," ")</f>
        <v xml:space="preserve">19851023  200807 01 01 </v>
      </c>
      <c r="K13" s="219" t="str">
        <f>IFERROR((ENTRI!I13)," ")</f>
        <v>Trenggalek</v>
      </c>
      <c r="L13" s="219">
        <f>IFERROR((ENTRI!J13)," ")</f>
        <v>23</v>
      </c>
      <c r="M13" s="219">
        <f>IFERROR((ENTRI!K13)," ")</f>
        <v>10</v>
      </c>
      <c r="N13" s="219">
        <f>IFERROR((ENTRI!L13)," ")</f>
        <v>1985</v>
      </c>
      <c r="O13" s="219" t="str">
        <f t="shared" si="39"/>
        <v xml:space="preserve">Trenggalek, 23-10-1985</v>
      </c>
      <c r="P13" s="219">
        <f>IFERROR((ENTRI!N13)," ")</f>
        <v>14</v>
      </c>
      <c r="Q13" s="219" t="str">
        <f>IFERROR((ENTRI!O13)," ")</f>
        <v>07</v>
      </c>
      <c r="R13" s="219">
        <f>IFERROR((ENTRI!P13)," ")</f>
        <v>2008</v>
      </c>
      <c r="S13" s="219" t="str">
        <f t="shared" si="40"/>
        <v>14-07-2008</v>
      </c>
      <c r="T13" s="219">
        <f>IFERROR((ENTRI!Q13)," ")</f>
        <v>14</v>
      </c>
      <c r="U13" s="219" t="str">
        <f>IFERROR((ENTRI!R13)," ")</f>
        <v>07</v>
      </c>
      <c r="V13" s="219">
        <f>IFERROR((ENTRI!S13)," ")</f>
        <v>2008</v>
      </c>
      <c r="W13" s="219" t="str">
        <f t="shared" si="41"/>
        <v>14-07-2008</v>
      </c>
      <c r="X13" s="219">
        <f>IFERROR((ENTRI!T13)," ")</f>
        <v>17</v>
      </c>
      <c r="Y13" s="219">
        <f>IFERROR((ENTRI!U13)," ")</f>
        <v>17</v>
      </c>
      <c r="Z13" s="219">
        <f>IFERROR((ENTRI!V13)," ")</f>
        <v>17</v>
      </c>
      <c r="AA13" s="219">
        <f>IFERROR((ENTRI!W13)," ")</f>
        <v>17</v>
      </c>
      <c r="AB13" s="219" t="str">
        <f>IFERROR((ENTRI!X13)," ")</f>
        <v>S1</v>
      </c>
      <c r="AC13" s="219" t="str">
        <f>IFERROR((ENTRI!Y13)," ")</f>
        <v>B.INGGRIS</v>
      </c>
      <c r="AD13" s="219">
        <f>IFERROR((ENTRI!Z13)," ")</f>
        <v>2010</v>
      </c>
      <c r="AE13" s="219" t="str">
        <f>IFERROR((ENTRI!AA13)," ")</f>
        <v>BELUM</v>
      </c>
      <c r="AF13" s="219" t="str">
        <f>IFERROR((ENTRI!AB13)," ")</f>
        <v xml:space="preserve">GURU PERTAMA</v>
      </c>
      <c r="AG13" s="219" t="str">
        <f>IFERROR((ENTRI!AC13)," ")</f>
        <v xml:space="preserve"> </v>
      </c>
      <c r="AH13" s="219">
        <f>IFERROR((ENTRI!AD13)," ")</f>
        <v>0</v>
      </c>
      <c r="AI13" s="219" t="str">
        <f>IFERROR((ENTRI!AE13)," ")</f>
        <v xml:space="preserve">Guru sentra</v>
      </c>
      <c r="AJ13" s="219">
        <f>IFERROR((ENTRI!AF13)," ")</f>
        <v>25</v>
      </c>
      <c r="AK13" s="219" t="str">
        <f>IFERROR((ENTRI!AG13)," ")</f>
        <v>-</v>
      </c>
      <c r="AL13" s="219" t="str">
        <f>IFERROR((ENTRI!AH13)," ")</f>
        <v>-</v>
      </c>
      <c r="AM13" s="219" t="str">
        <f>IFERROR((ENTRI!AI13)," ")</f>
        <v xml:space="preserve"> </v>
      </c>
      <c r="AN13" s="219" t="str">
        <f>IFERROR((ENTRI!AJ13)," ")</f>
        <v>SUDAH</v>
      </c>
      <c r="AO13" s="219">
        <f>IFERROR((ENTRI!AK13)," ")</f>
        <v>2009</v>
      </c>
      <c r="AP13" s="219" t="str">
        <f>IFERROR((ENTRI!AL13)," ")</f>
        <v>091535962003</v>
      </c>
      <c r="AQ13" s="219" t="str">
        <f>IFERROR((ENTRI!AM13)," ")</f>
        <v>4538757658300060</v>
      </c>
      <c r="AR13" s="216" t="str">
        <f>E13&amp;"."&amp;H13&amp;"."&amp;AW13&amp;"."&amp;ENTRI!$E$4</f>
        <v>01.01.006.2025</v>
      </c>
      <c r="AS13" t="str">
        <f>"YPP.QH/KP.01."&amp;E13&amp;"/"&amp;AW13&amp;"/"&amp;ENTRI!$E$4</f>
        <v>YPP.QH/KP.01.01/006/2025</v>
      </c>
      <c r="AW13" s="277" t="s">
        <v>898</v>
      </c>
      <c r="AZ13" t="s">
        <v>637</v>
      </c>
      <c r="BA13" t="s">
        <v>899</v>
      </c>
    </row>
    <row r="14">
      <c r="A14">
        <f t="shared" si="36"/>
        <v>86</v>
      </c>
      <c r="B14" s="276">
        <f t="shared" si="42"/>
        <v>2006</v>
      </c>
      <c r="C14" s="277">
        <v>7</v>
      </c>
      <c r="D14" s="219" t="str">
        <f>IFERROR(IF(ENTRI!B14=$AZ$9,$BA$9,IF(ENTRI!B14=$AZ$10,$BA$10,IF(ENTRI!B14=$AZ$11,$BA$11,IF(ENTRI!B14=$AZ$12,$BA$12,IF(ENTRI!B14=$AZ$13,$BA$13,IF(ENTRI!B14=$AZ$14,$BA$14,IF(ENTRI!B14=$AZ$15,$BA$15,IF(ENTRI!B14=$AZ$16,$BA$16,IF(ENTRI!B14=$AZ$17,$BA$17,IF(ENTRI!B14=$AZ$18,$BA$18," "))))))))))," ")</f>
        <v xml:space="preserve">PAUD Qomarul Hidayah</v>
      </c>
      <c r="E14" s="219" t="str">
        <f>IFERROR((ENTRI!C14)," ")</f>
        <v>01</v>
      </c>
      <c r="F14" s="219">
        <f t="shared" si="38"/>
        <v>86</v>
      </c>
      <c r="G14" s="219" t="str">
        <f>IFERROR((ENTRI!E14)," ")</f>
        <v xml:space="preserve">Tenaga Kependidikan</v>
      </c>
      <c r="H14" s="219" t="str">
        <f>IFERROR((ENTRI!F14)," ")</f>
        <v>02</v>
      </c>
      <c r="I14" s="219" t="str">
        <f>IFERROR((ENTRI!G14)," ")</f>
        <v xml:space="preserve">SITI MAESAROH</v>
      </c>
      <c r="J14" s="219" t="str">
        <f>IFERROR((ENTRI!H14)," ")</f>
        <v xml:space="preserve">19840707  201307 01 02 </v>
      </c>
      <c r="K14" s="219" t="str">
        <f>IFERROR((ENTRI!I14)," ")</f>
        <v>Trenggalek</v>
      </c>
      <c r="L14" s="219" t="str">
        <f>IFERROR((ENTRI!J14)," ")</f>
        <v>07</v>
      </c>
      <c r="M14" s="219" t="str">
        <f>IFERROR((ENTRI!K14)," ")</f>
        <v>07</v>
      </c>
      <c r="N14" s="219">
        <f>IFERROR((ENTRI!L14)," ")</f>
        <v>1984</v>
      </c>
      <c r="O14" s="219" t="str">
        <f t="shared" si="39"/>
        <v xml:space="preserve">Trenggalek, 07-07-1984</v>
      </c>
      <c r="P14" s="219" t="str">
        <f>IFERROR((ENTRI!N14)," ")</f>
        <v>08</v>
      </c>
      <c r="Q14" s="219" t="str">
        <f>IFERROR((ENTRI!O14)," ")</f>
        <v>07</v>
      </c>
      <c r="R14" s="219">
        <f>IFERROR((ENTRI!P14)," ")</f>
        <v>2013</v>
      </c>
      <c r="S14" s="219" t="str">
        <f t="shared" si="40"/>
        <v>08-07-2013</v>
      </c>
      <c r="T14" s="219" t="str">
        <f>IFERROR((ENTRI!Q14)," ")</f>
        <v>08</v>
      </c>
      <c r="U14" s="219" t="str">
        <f>IFERROR((ENTRI!R14)," ")</f>
        <v>07</v>
      </c>
      <c r="V14" s="219">
        <f>IFERROR((ENTRI!S14)," ")</f>
        <v>2013</v>
      </c>
      <c r="W14" s="219" t="str">
        <f t="shared" si="41"/>
        <v>08-07-2013</v>
      </c>
      <c r="X14" s="219">
        <f>IFERROR((ENTRI!T14)," ")</f>
        <v>12</v>
      </c>
      <c r="Y14" s="219">
        <f>IFERROR((ENTRI!U14)," ")</f>
        <v>12</v>
      </c>
      <c r="Z14" s="219">
        <f>IFERROR((ENTRI!V14)," ")</f>
        <v>12</v>
      </c>
      <c r="AA14" s="219">
        <f>IFERROR((ENTRI!W14)," ")</f>
        <v>12</v>
      </c>
      <c r="AB14" s="219" t="str">
        <f>IFERROR((ENTRI!X14)," ")</f>
        <v>SLTA</v>
      </c>
      <c r="AC14" s="219" t="str">
        <f>IFERROR((ENTRI!Y14)," ")</f>
        <v>SK</v>
      </c>
      <c r="AD14" s="219">
        <f>IFERROR((ENTRI!Z14)," ")</f>
        <v>2003</v>
      </c>
      <c r="AE14" s="219" t="str">
        <f>IFERROR((ENTRI!AA14)," ")</f>
        <v>BELUM</v>
      </c>
      <c r="AF14" s="219" t="str">
        <f>IFERROR((ENTRI!AB14)," ")</f>
        <v xml:space="preserve">GURU PERTAMA</v>
      </c>
      <c r="AG14" s="219" t="str">
        <f>IFERROR((ENTRI!AC14)," ")</f>
        <v xml:space="preserve"> </v>
      </c>
      <c r="AH14" s="219">
        <f>IFERROR((ENTRI!AD14)," ")</f>
        <v>0</v>
      </c>
      <c r="AI14" s="219" t="str">
        <f>IFERROR((ENTRI!AE14)," ")</f>
        <v xml:space="preserve">Guru sentra</v>
      </c>
      <c r="AJ14" s="219">
        <f>IFERROR((ENTRI!AF14)," ")</f>
        <v>25</v>
      </c>
      <c r="AK14" s="219" t="str">
        <f>IFERROR((ENTRI!AG14)," ")</f>
        <v>-</v>
      </c>
      <c r="AL14" s="219" t="str">
        <f>IFERROR((ENTRI!AH14)," ")</f>
        <v>-</v>
      </c>
      <c r="AM14" s="219" t="str">
        <f>IFERROR((ENTRI!AI14)," ")</f>
        <v xml:space="preserve"> </v>
      </c>
      <c r="AN14" s="219" t="str">
        <f>IFERROR((ENTRI!AJ14)," ")</f>
        <v>SUDAH</v>
      </c>
      <c r="AO14" s="219">
        <f>IFERROR((ENTRI!AK14)," ")</f>
        <v>2012</v>
      </c>
      <c r="AP14" s="219" t="str">
        <f>IFERROR((ENTRI!AL14)," ")</f>
        <v>122172183005</v>
      </c>
      <c r="AQ14" s="219" t="str">
        <f>IFERROR((ENTRI!AM14)," ")</f>
        <v>4433758659300190</v>
      </c>
      <c r="AR14" s="216" t="str">
        <f>E14&amp;"."&amp;H14&amp;"."&amp;AW14&amp;"."&amp;ENTRI!$E$4</f>
        <v>01.02.007.2025</v>
      </c>
      <c r="AS14" t="str">
        <f>"YPP.QH/KP.01."&amp;E14&amp;"/"&amp;AW14&amp;"/"&amp;ENTRI!$E$4</f>
        <v>YPP.QH/KP.01.01/007/2025</v>
      </c>
      <c r="AW14" s="277" t="s">
        <v>900</v>
      </c>
      <c r="AZ14" t="s">
        <v>550</v>
      </c>
      <c r="BA14" t="s">
        <v>901</v>
      </c>
    </row>
    <row r="15">
      <c r="A15">
        <f t="shared" si="36"/>
        <v>12</v>
      </c>
      <c r="B15" s="276">
        <f t="shared" si="42"/>
        <v>1988</v>
      </c>
      <c r="C15" s="277">
        <v>8</v>
      </c>
      <c r="D15" s="219" t="str">
        <f>IFERROR(IF(ENTRI!B15=$AZ$9,$BA$9,IF(ENTRI!B15=$AZ$10,$BA$10,IF(ENTRI!B15=$AZ$11,$BA$11,IF(ENTRI!B15=$AZ$12,$BA$12,IF(ENTRI!B15=$AZ$13,$BA$13,IF(ENTRI!B15=$AZ$14,$BA$14,IF(ENTRI!B15=$AZ$15,$BA$15,IF(ENTRI!B15=$AZ$16,$BA$16,IF(ENTRI!B15=$AZ$17,$BA$17,IF(ENTRI!B15=$AZ$18,$BA$18," "))))))))))," ")</f>
        <v xml:space="preserve">MI Qomarul Hidayah</v>
      </c>
      <c r="E15" s="219" t="str">
        <f>IFERROR((ENTRI!C15)," ")</f>
        <v>03</v>
      </c>
      <c r="F15" s="219">
        <f t="shared" si="38"/>
        <v>12</v>
      </c>
      <c r="G15" s="219" t="str">
        <f>IFERROR((ENTRI!E15)," ")</f>
        <v>Guru</v>
      </c>
      <c r="H15" s="219" t="str">
        <f>IFERROR((ENTRI!F15)," ")</f>
        <v>01</v>
      </c>
      <c r="I15" s="219" t="str">
        <f>IFERROR((ENTRI!G15)," ")</f>
        <v xml:space="preserve">SITI CHOIRIYAH,S.Pd.I</v>
      </c>
      <c r="J15" s="219" t="str">
        <f>IFERROR((ENTRI!H15)," ")</f>
        <v xml:space="preserve">19680903  199507 03 01 67</v>
      </c>
      <c r="K15" s="219" t="str">
        <f>IFERROR((ENTRI!I15)," ")</f>
        <v>Trenggalek</v>
      </c>
      <c r="L15" s="219" t="str">
        <f>IFERROR((ENTRI!J15)," ")</f>
        <v>03</v>
      </c>
      <c r="M15" s="219" t="str">
        <f>IFERROR((ENTRI!K15)," ")</f>
        <v>09</v>
      </c>
      <c r="N15" s="219">
        <f>IFERROR((ENTRI!L15)," ")</f>
        <v>1968</v>
      </c>
      <c r="O15" s="219" t="str">
        <f t="shared" si="39"/>
        <v xml:space="preserve">Trenggalek, 03-09-1968</v>
      </c>
      <c r="P15" s="219" t="str">
        <f>IFERROR((ENTRI!N15)," ")</f>
        <v>05</v>
      </c>
      <c r="Q15" s="219" t="str">
        <f>IFERROR((ENTRI!O15)," ")</f>
        <v>07</v>
      </c>
      <c r="R15" s="219">
        <f>IFERROR((ENTRI!P15)," ")</f>
        <v>1995</v>
      </c>
      <c r="S15" s="219" t="str">
        <f t="shared" si="40"/>
        <v>05-07-1995</v>
      </c>
      <c r="T15" s="219" t="str">
        <f>IFERROR((ENTRI!Q15)," ")</f>
        <v>05</v>
      </c>
      <c r="U15" s="219" t="str">
        <f>IFERROR((ENTRI!R15)," ")</f>
        <v>07</v>
      </c>
      <c r="V15" s="219">
        <f>IFERROR((ENTRI!S15)," ")</f>
        <v>1995</v>
      </c>
      <c r="W15" s="219" t="str">
        <f t="shared" si="41"/>
        <v>05-07-1995</v>
      </c>
      <c r="X15" s="219">
        <f>IFERROR((ENTRI!T15)," ")</f>
        <v>30</v>
      </c>
      <c r="Y15" s="219">
        <f>IFERROR((ENTRI!U15)," ")</f>
        <v>30</v>
      </c>
      <c r="Z15" s="219">
        <f>IFERROR((ENTRI!V15)," ")</f>
        <v>30</v>
      </c>
      <c r="AA15" s="219">
        <f>IFERROR((ENTRI!W15)," ")</f>
        <v>30</v>
      </c>
      <c r="AB15" s="219" t="str">
        <f>IFERROR((ENTRI!X15)," ")</f>
        <v>S1</v>
      </c>
      <c r="AC15" s="219" t="str">
        <f>IFERROR((ENTRI!Y15)," ")</f>
        <v>PAI</v>
      </c>
      <c r="AD15" s="219">
        <f>IFERROR((ENTRI!Z15)," ")</f>
        <v>2009</v>
      </c>
      <c r="AE15" s="219" t="str">
        <f>IFERROR((ENTRI!AA15)," ")</f>
        <v>SUDAH</v>
      </c>
      <c r="AF15" s="219" t="str">
        <f>IFERROR((ENTRI!AB15)," ")</f>
        <v xml:space="preserve">GURU DEWASA</v>
      </c>
      <c r="AG15" s="219" t="str">
        <f>IFERROR((ENTRI!AC15)," ")</f>
        <v xml:space="preserve">PENATA  </v>
      </c>
      <c r="AH15" s="219" t="str">
        <f>IFERROR((ENTRI!AD15)," ")</f>
        <v xml:space="preserve">III C</v>
      </c>
      <c r="AI15" s="219" t="str">
        <f>IFERROR((ENTRI!AE15)," ")</f>
        <v xml:space="preserve">Guru Kelas</v>
      </c>
      <c r="AJ15" s="219">
        <f>IFERROR((ENTRI!AF15)," ")</f>
        <v>26</v>
      </c>
      <c r="AK15" s="219" t="str">
        <f>IFERROR((ENTRI!AG15)," ")</f>
        <v>-</v>
      </c>
      <c r="AL15" s="219" t="str">
        <f>IFERROR((ENTRI!AH15)," ")</f>
        <v>-</v>
      </c>
      <c r="AM15" s="219" t="str">
        <f>IFERROR((ENTRI!AI15)," ")</f>
        <v xml:space="preserve"> </v>
      </c>
      <c r="AN15" s="219" t="str">
        <f>IFERROR((ENTRI!AJ15)," ")</f>
        <v>BELUM</v>
      </c>
      <c r="AO15" s="219">
        <f>IFERROR((ENTRI!AK15)," ")</f>
        <v>0</v>
      </c>
      <c r="AP15" s="219">
        <f>IFERROR((ENTRI!AL15)," ")</f>
        <v>0</v>
      </c>
      <c r="AQ15" s="219" t="str">
        <f>IFERROR((ENTRI!AM15)," ")</f>
        <v>6858764666200002</v>
      </c>
      <c r="AR15" s="216" t="str">
        <f>E15&amp;"."&amp;H15&amp;"."&amp;AW15&amp;"."&amp;ENTRI!$E$4</f>
        <v>03.01.008.2025</v>
      </c>
      <c r="AS15" t="str">
        <f>"YPP.QH/KP.01."&amp;E15&amp;"/"&amp;AW15&amp;"/"&amp;ENTRI!$E$4</f>
        <v>YPP.QH/KP.01.03/008/2025</v>
      </c>
      <c r="AW15" s="277" t="s">
        <v>902</v>
      </c>
      <c r="AZ15" t="s">
        <v>483</v>
      </c>
      <c r="BA15" t="s">
        <v>903</v>
      </c>
    </row>
    <row r="16">
      <c r="A16">
        <f t="shared" si="36"/>
        <v>19</v>
      </c>
      <c r="B16" s="276">
        <f t="shared" si="42"/>
        <v>1993</v>
      </c>
      <c r="C16" s="277">
        <v>9</v>
      </c>
      <c r="D16" s="219" t="str">
        <f>IFERROR(IF(ENTRI!B16=$AZ$9,$BA$9,IF(ENTRI!B16=$AZ$10,$BA$10,IF(ENTRI!B16=$AZ$11,$BA$11,IF(ENTRI!B16=$AZ$12,$BA$12,IF(ENTRI!B16=$AZ$13,$BA$13,IF(ENTRI!B16=$AZ$14,$BA$14,IF(ENTRI!B16=$AZ$15,$BA$15,IF(ENTRI!B16=$AZ$16,$BA$16,IF(ENTRI!B16=$AZ$17,$BA$17,IF(ENTRI!B16=$AZ$18,$BA$18," "))))))))))," ")</f>
        <v xml:space="preserve">MI Qomarul Hidayah</v>
      </c>
      <c r="E16" s="219" t="str">
        <f>IFERROR((ENTRI!C16)," ")</f>
        <v>03</v>
      </c>
      <c r="F16" s="219">
        <f t="shared" ref="F16:F79" si="43">A16</f>
        <v>19</v>
      </c>
      <c r="G16" s="219" t="str">
        <f>IFERROR((ENTRI!E16)," ")</f>
        <v>Guru</v>
      </c>
      <c r="H16" s="219" t="str">
        <f>IFERROR((ENTRI!F16)," ")</f>
        <v>01</v>
      </c>
      <c r="I16" s="219" t="str">
        <f>IFERROR((ENTRI!G16)," ")</f>
        <v xml:space="preserve">IMMAROTUS SA'ADAH,S.Pd.I</v>
      </c>
      <c r="J16" s="219" t="str">
        <f>IFERROR((ENTRI!H16)," ")</f>
        <v xml:space="preserve">19790602  200007 03 01 01</v>
      </c>
      <c r="K16" s="219" t="str">
        <f>IFERROR((ENTRI!I16)," ")</f>
        <v>Trenggalek</v>
      </c>
      <c r="L16" s="219" t="str">
        <f>IFERROR((ENTRI!J16)," ")</f>
        <v>02</v>
      </c>
      <c r="M16" s="219" t="str">
        <f>IFERROR((ENTRI!K16)," ")</f>
        <v>06</v>
      </c>
      <c r="N16" s="219">
        <f>IFERROR((ENTRI!L16)," ")</f>
        <v>1979</v>
      </c>
      <c r="O16" s="219" t="str">
        <f t="shared" ref="O16:O79" si="44">K16&amp;","&amp;" "&amp;L16&amp;"-"&amp;M16&amp;"-"&amp;N16</f>
        <v xml:space="preserve">Trenggalek, 02-06-1979</v>
      </c>
      <c r="P16" s="219" t="str">
        <f>IFERROR((ENTRI!N16)," ")</f>
        <v>01</v>
      </c>
      <c r="Q16" s="219" t="str">
        <f>IFERROR((ENTRI!O16)," ")</f>
        <v>07</v>
      </c>
      <c r="R16" s="219">
        <f>IFERROR((ENTRI!P16)," ")</f>
        <v>2000</v>
      </c>
      <c r="S16" s="219" t="str">
        <f t="shared" ref="S16:S79" si="45">P16&amp;"-"&amp;Q16&amp;"-"&amp;R16</f>
        <v>01-07-2000</v>
      </c>
      <c r="T16" s="219" t="str">
        <f>IFERROR((ENTRI!Q16)," ")</f>
        <v>01</v>
      </c>
      <c r="U16" s="219" t="str">
        <f>IFERROR((ENTRI!R16)," ")</f>
        <v>07</v>
      </c>
      <c r="V16" s="219">
        <f>IFERROR((ENTRI!S16)," ")</f>
        <v>2000</v>
      </c>
      <c r="W16" s="219" t="str">
        <f t="shared" ref="W16:W79" si="46">T16&amp;"-"&amp;U16&amp;"-"&amp;V16</f>
        <v>01-07-2000</v>
      </c>
      <c r="X16" s="219">
        <f>IFERROR((ENTRI!T16)," ")</f>
        <v>25</v>
      </c>
      <c r="Y16" s="219">
        <f>IFERROR((ENTRI!U16)," ")</f>
        <v>25</v>
      </c>
      <c r="Z16" s="219">
        <f>IFERROR((ENTRI!V16)," ")</f>
        <v>25</v>
      </c>
      <c r="AA16" s="219">
        <f>IFERROR((ENTRI!W16)," ")</f>
        <v>25</v>
      </c>
      <c r="AB16" s="219" t="str">
        <f>IFERROR((ENTRI!X16)," ")</f>
        <v>S1</v>
      </c>
      <c r="AC16" s="219" t="str">
        <f>IFERROR((ENTRI!Y16)," ")</f>
        <v>PAI</v>
      </c>
      <c r="AD16" s="219">
        <f>IFERROR((ENTRI!Z16)," ")</f>
        <v>2004</v>
      </c>
      <c r="AE16" s="219" t="str">
        <f>IFERROR((ENTRI!AA16)," ")</f>
        <v>SUDAH</v>
      </c>
      <c r="AF16" s="219" t="str">
        <f>IFERROR((ENTRI!AB16)," ")</f>
        <v xml:space="preserve">GURU PERTAMA</v>
      </c>
      <c r="AG16" s="219" t="str">
        <f>IFERROR((ENTRI!AC16)," ")</f>
        <v xml:space="preserve">PENATA MUDA TK. I</v>
      </c>
      <c r="AH16" s="219" t="str">
        <f>IFERROR((ENTRI!AD16)," ")</f>
        <v xml:space="preserve">III B</v>
      </c>
      <c r="AI16" s="219" t="str">
        <f>IFERROR((ENTRI!AE16)," ")</f>
        <v xml:space="preserve">Guru Kelas</v>
      </c>
      <c r="AJ16" s="219">
        <f>IFERROR((ENTRI!AF16)," ")</f>
        <v>25</v>
      </c>
      <c r="AK16" s="219" t="str">
        <f>IFERROR((ENTRI!AG16)," ")</f>
        <v>-</v>
      </c>
      <c r="AL16" s="219" t="str">
        <f>IFERROR((ENTRI!AH16)," ")</f>
        <v>-</v>
      </c>
      <c r="AM16" s="219" t="str">
        <f>IFERROR((ENTRI!AI16)," ")</f>
        <v xml:space="preserve"> </v>
      </c>
      <c r="AN16" s="219" t="str">
        <f>IFERROR((ENTRI!AJ16)," ")</f>
        <v>BELUM</v>
      </c>
      <c r="AO16" s="219">
        <f>IFERROR((ENTRI!AK16)," ")</f>
        <v>0</v>
      </c>
      <c r="AP16" s="219">
        <f>IFERROR((ENTRI!AL16)," ")</f>
        <v>0</v>
      </c>
      <c r="AQ16" s="219" t="str">
        <f>IFERROR((ENTRI!AM16)," ")</f>
        <v>4444766668110012</v>
      </c>
      <c r="AR16" s="216" t="str">
        <f>E16&amp;"."&amp;H16&amp;"."&amp;AW16&amp;"."&amp;ENTRI!$E$4</f>
        <v>03.01.009.2025</v>
      </c>
      <c r="AS16" t="str">
        <f>"YPP.QH/KP.01."&amp;E16&amp;"/"&amp;AW16&amp;"/"&amp;ENTRI!$E$4</f>
        <v>YPP.QH/KP.01.03/009/2025</v>
      </c>
      <c r="AW16" s="277" t="s">
        <v>904</v>
      </c>
    </row>
    <row r="17">
      <c r="A17">
        <f t="shared" si="36"/>
        <v>39</v>
      </c>
      <c r="B17" s="276">
        <f t="shared" si="42"/>
        <v>1998</v>
      </c>
      <c r="C17" s="277">
        <v>10</v>
      </c>
      <c r="D17" s="219" t="str">
        <f>IFERROR(IF(ENTRI!B17=$AZ$9,$BA$9,IF(ENTRI!B17=$AZ$10,$BA$10,IF(ENTRI!B17=$AZ$11,$BA$11,IF(ENTRI!B17=$AZ$12,$BA$12,IF(ENTRI!B17=$AZ$13,$BA$13,IF(ENTRI!B17=$AZ$14,$BA$14,IF(ENTRI!B17=$AZ$15,$BA$15,IF(ENTRI!B17=$AZ$16,$BA$16,IF(ENTRI!B17=$AZ$17,$BA$17,IF(ENTRI!B17=$AZ$18,$BA$18," "))))))))))," ")</f>
        <v xml:space="preserve">MI Qomarul Hidayah</v>
      </c>
      <c r="E17" s="219" t="str">
        <f>IFERROR((ENTRI!C17)," ")</f>
        <v>03</v>
      </c>
      <c r="F17" s="219">
        <f t="shared" si="43"/>
        <v>39</v>
      </c>
      <c r="G17" s="219" t="str">
        <f>IFERROR((ENTRI!E17)," ")</f>
        <v>Guru</v>
      </c>
      <c r="H17" s="219" t="str">
        <f>IFERROR((ENTRI!F17)," ")</f>
        <v>01</v>
      </c>
      <c r="I17" s="219" t="str">
        <f>IFERROR((ENTRI!G17)," ")</f>
        <v xml:space="preserve">NAILI ROHMAH,S.E</v>
      </c>
      <c r="J17" s="219" t="str">
        <f>IFERROR((ENTRI!H17)," ")</f>
        <v xml:space="preserve">19800101  200507 03 01 11</v>
      </c>
      <c r="K17" s="219" t="str">
        <f>IFERROR((ENTRI!I17)," ")</f>
        <v>Trenggalek</v>
      </c>
      <c r="L17" s="219" t="str">
        <f>IFERROR((ENTRI!J17)," ")</f>
        <v>01</v>
      </c>
      <c r="M17" s="219" t="str">
        <f>IFERROR((ENTRI!K17)," ")</f>
        <v>01</v>
      </c>
      <c r="N17" s="219">
        <f>IFERROR((ENTRI!L17)," ")</f>
        <v>1980</v>
      </c>
      <c r="O17" s="219" t="str">
        <f t="shared" si="44"/>
        <v xml:space="preserve">Trenggalek, 01-01-1980</v>
      </c>
      <c r="P17" s="219">
        <f>IFERROR((ENTRI!N17)," ")</f>
        <v>11</v>
      </c>
      <c r="Q17" s="219" t="str">
        <f>IFERROR((ENTRI!O17)," ")</f>
        <v>07</v>
      </c>
      <c r="R17" s="219">
        <f>IFERROR((ENTRI!P17)," ")</f>
        <v>2005</v>
      </c>
      <c r="S17" s="219" t="str">
        <f t="shared" si="45"/>
        <v>11-07-2005</v>
      </c>
      <c r="T17" s="219">
        <f>IFERROR((ENTRI!Q17)," ")</f>
        <v>11</v>
      </c>
      <c r="U17" s="219" t="str">
        <f>IFERROR((ENTRI!R17)," ")</f>
        <v>07</v>
      </c>
      <c r="V17" s="219">
        <f>IFERROR((ENTRI!S17)," ")</f>
        <v>2005</v>
      </c>
      <c r="W17" s="219" t="str">
        <f t="shared" si="46"/>
        <v>11-07-2005</v>
      </c>
      <c r="X17" s="219">
        <f>IFERROR((ENTRI!T17)," ")</f>
        <v>20</v>
      </c>
      <c r="Y17" s="219">
        <f>IFERROR((ENTRI!U17)," ")</f>
        <v>20</v>
      </c>
      <c r="Z17" s="219">
        <f>IFERROR((ENTRI!V17)," ")</f>
        <v>20</v>
      </c>
      <c r="AA17" s="219">
        <f>IFERROR((ENTRI!W17)," ")</f>
        <v>20</v>
      </c>
      <c r="AB17" s="219" t="str">
        <f>IFERROR((ENTRI!X17)," ")</f>
        <v>S1</v>
      </c>
      <c r="AC17" s="219" t="str">
        <f>IFERROR((ENTRI!Y17)," ")</f>
        <v>AKUNTASI</v>
      </c>
      <c r="AD17" s="219">
        <f>IFERROR((ENTRI!Z17)," ")</f>
        <v>2003</v>
      </c>
      <c r="AE17" s="219" t="str">
        <f>IFERROR((ENTRI!AA17)," ")</f>
        <v>SUDAH</v>
      </c>
      <c r="AF17" s="219" t="str">
        <f>IFERROR((ENTRI!AB17)," ")</f>
        <v xml:space="preserve">GURU MADYA</v>
      </c>
      <c r="AG17" s="219" t="str">
        <f>IFERROR((ENTRI!AC17)," ")</f>
        <v xml:space="preserve">PENATA MUDA TK. I</v>
      </c>
      <c r="AH17" s="219" t="str">
        <f>IFERROR((ENTRI!AD17)," ")</f>
        <v xml:space="preserve">III B</v>
      </c>
      <c r="AI17" s="219" t="str">
        <f>IFERROR((ENTRI!AE17)," ")</f>
        <v xml:space="preserve">Guru Kelas</v>
      </c>
      <c r="AJ17" s="219">
        <f>IFERROR((ENTRI!AF17)," ")</f>
        <v>26</v>
      </c>
      <c r="AK17" s="219" t="str">
        <f>IFERROR((ENTRI!AG17)," ")</f>
        <v>-</v>
      </c>
      <c r="AL17" s="219" t="str">
        <f>IFERROR((ENTRI!AH17)," ")</f>
        <v>-</v>
      </c>
      <c r="AM17" s="219" t="str">
        <f>IFERROR((ENTRI!AI17)," ")</f>
        <v xml:space="preserve"> </v>
      </c>
      <c r="AN17" s="219" t="str">
        <f>IFERROR((ENTRI!AJ17)," ")</f>
        <v>BELUM</v>
      </c>
      <c r="AO17" s="219">
        <f>IFERROR((ENTRI!AK17)," ")</f>
        <v>0</v>
      </c>
      <c r="AP17" s="219">
        <f>IFERROR((ENTRI!AL17)," ")</f>
        <v>0</v>
      </c>
      <c r="AQ17" s="219" t="str">
        <f>IFERROR((ENTRI!AM17)," ")</f>
        <v>20541857191001</v>
      </c>
      <c r="AR17" s="216" t="str">
        <f>E17&amp;"."&amp;H17&amp;"."&amp;AW17&amp;"."&amp;ENTRI!$E$4</f>
        <v>03.01.010.2025</v>
      </c>
      <c r="AS17" t="str">
        <f>"YPP.QH/KP.01."&amp;E17&amp;"/"&amp;AW17&amp;"/"&amp;ENTRI!$E$4</f>
        <v>YPP.QH/KP.01.03/010/2025</v>
      </c>
      <c r="AW17" s="277" t="s">
        <v>905</v>
      </c>
    </row>
    <row r="18">
      <c r="A18">
        <f t="shared" si="36"/>
        <v>27</v>
      </c>
      <c r="B18" s="276">
        <f t="shared" si="42"/>
        <v>1996</v>
      </c>
      <c r="C18" s="277">
        <v>11</v>
      </c>
      <c r="D18" s="219" t="str">
        <f>IFERROR(IF(ENTRI!B18=$AZ$9,$BA$9,IF(ENTRI!B18=$AZ$10,$BA$10,IF(ENTRI!B18=$AZ$11,$BA$11,IF(ENTRI!B18=$AZ$12,$BA$12,IF(ENTRI!B18=$AZ$13,$BA$13,IF(ENTRI!B18=$AZ$14,$BA$14,IF(ENTRI!B18=$AZ$15,$BA$15,IF(ENTRI!B18=$AZ$16,$BA$16,IF(ENTRI!B18=$AZ$17,$BA$17,IF(ENTRI!B18=$AZ$18,$BA$18," "))))))))))," ")</f>
        <v xml:space="preserve">MI Qomarul Hidayah</v>
      </c>
      <c r="E18" s="219" t="str">
        <f>IFERROR((ENTRI!C18)," ")</f>
        <v>03</v>
      </c>
      <c r="F18" s="219">
        <f t="shared" si="43"/>
        <v>27</v>
      </c>
      <c r="G18" s="219" t="str">
        <f>IFERROR((ENTRI!E18)," ")</f>
        <v>Guru</v>
      </c>
      <c r="H18" s="219" t="str">
        <f>IFERROR((ENTRI!F18)," ")</f>
        <v>01</v>
      </c>
      <c r="I18" s="219" t="str">
        <f>IFERROR((ENTRI!G18)," ")</f>
        <v xml:space="preserve">DUKAN KHOIRI,S.Pd.I</v>
      </c>
      <c r="J18" s="219" t="str">
        <f>IFERROR((ENTRI!H18)," ")</f>
        <v xml:space="preserve">19860526  200509 03 01 24</v>
      </c>
      <c r="K18" s="219" t="str">
        <f>IFERROR((ENTRI!I18)," ")</f>
        <v>Trenggalek</v>
      </c>
      <c r="L18" s="219">
        <f>IFERROR((ENTRI!J18)," ")</f>
        <v>26</v>
      </c>
      <c r="M18" s="219" t="str">
        <f>IFERROR((ENTRI!K18)," ")</f>
        <v>05</v>
      </c>
      <c r="N18" s="219">
        <f>IFERROR((ENTRI!L18)," ")</f>
        <v>1986</v>
      </c>
      <c r="O18" s="219" t="str">
        <f t="shared" si="44"/>
        <v xml:space="preserve">Trenggalek, 26-05-1986</v>
      </c>
      <c r="P18" s="219" t="str">
        <f>IFERROR((ENTRI!N18)," ")</f>
        <v>01</v>
      </c>
      <c r="Q18" s="219" t="str">
        <f>IFERROR((ENTRI!O18)," ")</f>
        <v>09</v>
      </c>
      <c r="R18" s="219">
        <f>IFERROR((ENTRI!P18)," ")</f>
        <v>2005</v>
      </c>
      <c r="S18" s="219" t="str">
        <f t="shared" si="45"/>
        <v>01-09-2005</v>
      </c>
      <c r="T18" s="219" t="str">
        <f>IFERROR((ENTRI!Q18)," ")</f>
        <v>01</v>
      </c>
      <c r="U18" s="219" t="str">
        <f>IFERROR((ENTRI!R18)," ")</f>
        <v>09</v>
      </c>
      <c r="V18" s="219">
        <f>IFERROR((ENTRI!S18)," ")</f>
        <v>2005</v>
      </c>
      <c r="W18" s="219" t="str">
        <f t="shared" si="46"/>
        <v>01-09-2005</v>
      </c>
      <c r="X18" s="219">
        <f>IFERROR((ENTRI!T18)," ")</f>
        <v>20</v>
      </c>
      <c r="Y18" s="219">
        <f>IFERROR((ENTRI!U18)," ")</f>
        <v>20</v>
      </c>
      <c r="Z18" s="219">
        <f>IFERROR((ENTRI!V18)," ")</f>
        <v>20</v>
      </c>
      <c r="AA18" s="219">
        <f>IFERROR((ENTRI!W18)," ")</f>
        <v>20</v>
      </c>
      <c r="AB18" s="219" t="str">
        <f>IFERROR((ENTRI!X18)," ")</f>
        <v>S1</v>
      </c>
      <c r="AC18" s="219" t="str">
        <f>IFERROR((ENTRI!Y18)," ")</f>
        <v>PAI</v>
      </c>
      <c r="AD18" s="219">
        <f>IFERROR((ENTRI!Z18)," ")</f>
        <v>2010</v>
      </c>
      <c r="AE18" s="219" t="str">
        <f>IFERROR((ENTRI!AA18)," ")</f>
        <v>BELUM</v>
      </c>
      <c r="AF18" s="219">
        <f>IFERROR((ENTRI!AB18)," ")</f>
        <v>0</v>
      </c>
      <c r="AG18" s="219" t="str">
        <f>IFERROR((ENTRI!AC18)," ")</f>
        <v xml:space="preserve"> </v>
      </c>
      <c r="AH18" s="219">
        <f>IFERROR((ENTRI!AD18)," ")</f>
        <v>0</v>
      </c>
      <c r="AI18" s="219" t="str">
        <f>IFERROR((ENTRI!AE18)," ")</f>
        <v xml:space="preserve">GURU KELAS AGAMA</v>
      </c>
      <c r="AJ18" s="219">
        <f>IFERROR((ENTRI!AF18)," ")</f>
        <v>26</v>
      </c>
      <c r="AK18" s="219" t="str">
        <f>IFERROR((ENTRI!AG18)," ")</f>
        <v>-</v>
      </c>
      <c r="AL18" s="219" t="str">
        <f>IFERROR((ENTRI!AH18)," ")</f>
        <v>-</v>
      </c>
      <c r="AM18" s="219" t="str">
        <f>IFERROR((ENTRI!AI18)," ")</f>
        <v xml:space="preserve"> </v>
      </c>
      <c r="AN18" s="219" t="str">
        <f>IFERROR((ENTRI!AJ18)," ")</f>
        <v>BELUM</v>
      </c>
      <c r="AO18" s="219">
        <f>IFERROR((ENTRI!AK18)," ")</f>
        <v>0</v>
      </c>
      <c r="AP18" s="219">
        <f>IFERROR((ENTRI!AL18)," ")</f>
        <v>0</v>
      </c>
      <c r="AQ18" s="219" t="str">
        <f>IFERROR((ENTRI!AM18)," ")</f>
        <v>20541857189001</v>
      </c>
      <c r="AR18" s="216" t="str">
        <f>E18&amp;"."&amp;H18&amp;"."&amp;AW18&amp;"."&amp;ENTRI!$E$4</f>
        <v>03.01.011.2025</v>
      </c>
      <c r="AS18" t="str">
        <f>"YPP.QH/KP.01."&amp;E18&amp;"/"&amp;AW18&amp;"/"&amp;ENTRI!$E$4</f>
        <v>YPP.QH/KP.01.03/011/2025</v>
      </c>
      <c r="AW18" s="277" t="s">
        <v>906</v>
      </c>
    </row>
    <row r="19">
      <c r="A19">
        <f t="shared" si="36"/>
        <v>60</v>
      </c>
      <c r="B19" s="276">
        <f t="shared" si="42"/>
        <v>2001</v>
      </c>
      <c r="C19" s="277">
        <v>12</v>
      </c>
      <c r="D19" s="219" t="str">
        <f>IFERROR(IF(ENTRI!B19=$AZ$9,$BA$9,IF(ENTRI!B19=$AZ$10,$BA$10,IF(ENTRI!B19=$AZ$11,$BA$11,IF(ENTRI!B19=$AZ$12,$BA$12,IF(ENTRI!B19=$AZ$13,$BA$13,IF(ENTRI!B19=$AZ$14,$BA$14,IF(ENTRI!B19=$AZ$15,$BA$15,IF(ENTRI!B19=$AZ$16,$BA$16,IF(ENTRI!B19=$AZ$17,$BA$17,IF(ENTRI!B19=$AZ$18,$BA$18," "))))))))))," ")</f>
        <v xml:space="preserve">MTs Qomarul Hidayah</v>
      </c>
      <c r="E19" s="219" t="str">
        <f>IFERROR((ENTRI!C19)," ")</f>
        <v>04</v>
      </c>
      <c r="F19" s="219">
        <f t="shared" si="43"/>
        <v>60</v>
      </c>
      <c r="G19" s="219" t="str">
        <f>IFERROR((ENTRI!E19)," ")</f>
        <v>Guru</v>
      </c>
      <c r="H19" s="219" t="str">
        <f>IFERROR((ENTRI!F19)," ")</f>
        <v>01</v>
      </c>
      <c r="I19" s="219" t="str">
        <f>IFERROR((ENTRI!G19)," ")</f>
        <v xml:space="preserve">RION ADI WIJAYA,S.Pd</v>
      </c>
      <c r="J19" s="219" t="str">
        <f>IFERROR((ENTRI!H19)," ")</f>
        <v xml:space="preserve">19880112  200807 04 01 01</v>
      </c>
      <c r="K19" s="219" t="str">
        <f>IFERROR((ENTRI!I19)," ")</f>
        <v>Trenggalek</v>
      </c>
      <c r="L19" s="219">
        <f>IFERROR((ENTRI!J19)," ")</f>
        <v>12</v>
      </c>
      <c r="M19" s="219" t="str">
        <f>IFERROR((ENTRI!K19)," ")</f>
        <v>01</v>
      </c>
      <c r="N19" s="219">
        <f>IFERROR((ENTRI!L19)," ")</f>
        <v>1988</v>
      </c>
      <c r="O19" s="219" t="str">
        <f t="shared" si="44"/>
        <v xml:space="preserve">Trenggalek, 12-01-1988</v>
      </c>
      <c r="P19" s="219" t="str">
        <f>IFERROR((ENTRI!N19)," ")</f>
        <v>01</v>
      </c>
      <c r="Q19" s="219" t="str">
        <f>IFERROR((ENTRI!O19)," ")</f>
        <v>07</v>
      </c>
      <c r="R19" s="219">
        <f>IFERROR((ENTRI!P19)," ")</f>
        <v>2008</v>
      </c>
      <c r="S19" s="219" t="str">
        <f t="shared" si="45"/>
        <v>01-07-2008</v>
      </c>
      <c r="T19" s="219" t="str">
        <f>IFERROR((ENTRI!Q19)," ")</f>
        <v>01</v>
      </c>
      <c r="U19" s="219" t="str">
        <f>IFERROR((ENTRI!R19)," ")</f>
        <v>07</v>
      </c>
      <c r="V19" s="219">
        <f>IFERROR((ENTRI!S19)," ")</f>
        <v>2020</v>
      </c>
      <c r="W19" s="219" t="str">
        <f t="shared" si="46"/>
        <v>01-07-2020</v>
      </c>
      <c r="X19" s="219">
        <f>IFERROR((ENTRI!T19)," ")</f>
        <v>5</v>
      </c>
      <c r="Y19" s="219">
        <f>IFERROR((ENTRI!U19)," ")</f>
        <v>17</v>
      </c>
      <c r="Z19" s="219">
        <f>IFERROR((ENTRI!V19)," ")</f>
        <v>17</v>
      </c>
      <c r="AA19" s="219">
        <f>IFERROR((ENTRI!W19)," ")</f>
        <v>5</v>
      </c>
      <c r="AB19" s="219" t="str">
        <f>IFERROR((ENTRI!X19)," ")</f>
        <v>S1</v>
      </c>
      <c r="AC19" s="219" t="str">
        <f>IFERROR((ENTRI!Y19)," ")</f>
        <v>PBS/PBSI</v>
      </c>
      <c r="AD19" s="219">
        <f>IFERROR((ENTRI!Z19)," ")</f>
        <v>2013</v>
      </c>
      <c r="AE19" s="219" t="str">
        <f>IFERROR((ENTRI!AA19)," ")</f>
        <v>BELUM</v>
      </c>
      <c r="AF19" s="219">
        <f>IFERROR((ENTRI!AB19)," ")</f>
        <v>0</v>
      </c>
      <c r="AG19" s="219" t="str">
        <f>IFERROR((ENTRI!AC19)," ")</f>
        <v xml:space="preserve"> </v>
      </c>
      <c r="AH19" s="219">
        <f>IFERROR((ENTRI!AD19)," ")</f>
        <v>0</v>
      </c>
      <c r="AI19" s="219" t="str">
        <f>IFERROR((ENTRI!AE19)," ")</f>
        <v xml:space="preserve">GURU PENJASKES</v>
      </c>
      <c r="AJ19" s="219">
        <f>IFERROR((ENTRI!AF19)," ")</f>
        <v>24</v>
      </c>
      <c r="AK19" s="219" t="str">
        <f>IFERROR((ENTRI!AG19)," ")</f>
        <v>-</v>
      </c>
      <c r="AL19" s="219" t="str">
        <f>IFERROR((ENTRI!AH19)," ")</f>
        <v>-</v>
      </c>
      <c r="AM19" s="219" t="str">
        <f>IFERROR((ENTRI!AI19)," ")</f>
        <v xml:space="preserve"> </v>
      </c>
      <c r="AN19" s="219">
        <f>IFERROR((ENTRI!AJ19)," ")</f>
        <v>0</v>
      </c>
      <c r="AO19" s="219">
        <f>IFERROR((ENTRI!AK19)," ")</f>
        <v>0</v>
      </c>
      <c r="AP19" s="219">
        <f>IFERROR((ENTRI!AL19)," ")</f>
        <v>0</v>
      </c>
      <c r="AQ19" s="219" t="str">
        <f>IFERROR((ENTRI!AM19)," ")</f>
        <v>20541857187001</v>
      </c>
      <c r="AR19" s="216" t="str">
        <f>E19&amp;"."&amp;H19&amp;"."&amp;AW19&amp;"."&amp;ENTRI!$E$4</f>
        <v>04.01.012.2025</v>
      </c>
      <c r="AS19" t="str">
        <f>"YPP.QH/KP.01."&amp;E19&amp;"/"&amp;AW19&amp;"/"&amp;ENTRI!$E$4</f>
        <v>YPP.QH/KP.01.04/012/2025</v>
      </c>
      <c r="AW19" s="277" t="s">
        <v>907</v>
      </c>
    </row>
    <row r="20">
      <c r="A20">
        <f t="shared" si="36"/>
        <v>60</v>
      </c>
      <c r="B20" s="276">
        <f t="shared" si="42"/>
        <v>2001</v>
      </c>
      <c r="C20" s="277">
        <v>13</v>
      </c>
      <c r="D20" s="219" t="str">
        <f>IFERROR(IF(ENTRI!B20=$AZ$9,$BA$9,IF(ENTRI!B20=$AZ$10,$BA$10,IF(ENTRI!B20=$AZ$11,$BA$11,IF(ENTRI!B20=$AZ$12,$BA$12,IF(ENTRI!B20=$AZ$13,$BA$13,IF(ENTRI!B20=$AZ$14,$BA$14,IF(ENTRI!B20=$AZ$15,$BA$15,IF(ENTRI!B20=$AZ$16,$BA$16,IF(ENTRI!B20=$AZ$17,$BA$17,IF(ENTRI!B20=$AZ$18,$BA$18," "))))))))))," ")</f>
        <v xml:space="preserve">MI Qomarul Hidayah</v>
      </c>
      <c r="E20" s="219" t="str">
        <f>IFERROR((ENTRI!C20)," ")</f>
        <v>03</v>
      </c>
      <c r="F20" s="219">
        <f t="shared" si="43"/>
        <v>60</v>
      </c>
      <c r="G20" s="219" t="str">
        <f>IFERROR((ENTRI!E20)," ")</f>
        <v>Guru</v>
      </c>
      <c r="H20" s="219" t="str">
        <f>IFERROR((ENTRI!F20)," ")</f>
        <v>01</v>
      </c>
      <c r="I20" s="219" t="str">
        <f>IFERROR((ENTRI!G20)," ")</f>
        <v xml:space="preserve">SITI SHOLIKAH,S.Pd</v>
      </c>
      <c r="J20" s="219" t="str">
        <f>IFERROR((ENTRI!H20)," ")</f>
        <v xml:space="preserve">19890205  201110 03 01 01</v>
      </c>
      <c r="K20" s="219" t="str">
        <f>IFERROR((ENTRI!I20)," ")</f>
        <v>Trenggalek</v>
      </c>
      <c r="L20" s="219" t="str">
        <f>IFERROR((ENTRI!J20)," ")</f>
        <v>05</v>
      </c>
      <c r="M20" s="219" t="str">
        <f>IFERROR((ENTRI!K20)," ")</f>
        <v>02</v>
      </c>
      <c r="N20" s="219">
        <f>IFERROR((ENTRI!L20)," ")</f>
        <v>1989</v>
      </c>
      <c r="O20" s="219" t="str">
        <f t="shared" si="44"/>
        <v xml:space="preserve">Trenggalek, 05-02-1989</v>
      </c>
      <c r="P20" s="219" t="str">
        <f>IFERROR((ENTRI!N20)," ")</f>
        <v>01</v>
      </c>
      <c r="Q20" s="219">
        <f>IFERROR((ENTRI!O20)," ")</f>
        <v>10</v>
      </c>
      <c r="R20" s="219">
        <f>IFERROR((ENTRI!P20)," ")</f>
        <v>2011</v>
      </c>
      <c r="S20" s="219" t="str">
        <f t="shared" si="45"/>
        <v>01-10-2011</v>
      </c>
      <c r="T20" s="219" t="str">
        <f>IFERROR((ENTRI!Q20)," ")</f>
        <v>01</v>
      </c>
      <c r="U20" s="219">
        <f>IFERROR((ENTRI!R20)," ")</f>
        <v>10</v>
      </c>
      <c r="V20" s="219">
        <f>IFERROR((ENTRI!S20)," ")</f>
        <v>2011</v>
      </c>
      <c r="W20" s="219" t="str">
        <f t="shared" si="46"/>
        <v>01-10-2011</v>
      </c>
      <c r="X20" s="219">
        <f>IFERROR((ENTRI!T20)," ")</f>
        <v>14</v>
      </c>
      <c r="Y20" s="219">
        <f>IFERROR((ENTRI!U20)," ")</f>
        <v>14</v>
      </c>
      <c r="Z20" s="219">
        <f>IFERROR((ENTRI!V20)," ")</f>
        <v>14</v>
      </c>
      <c r="AA20" s="219">
        <f>IFERROR((ENTRI!W20)," ")</f>
        <v>14</v>
      </c>
      <c r="AB20" s="219" t="str">
        <f>IFERROR((ENTRI!X20)," ")</f>
        <v>S1</v>
      </c>
      <c r="AC20" s="219" t="str">
        <f>IFERROR((ENTRI!Y20)," ")</f>
        <v>PBS/PBSI</v>
      </c>
      <c r="AD20" s="219">
        <f>IFERROR((ENTRI!Z20)," ")</f>
        <v>2012</v>
      </c>
      <c r="AE20" s="219" t="str">
        <f>IFERROR((ENTRI!AA20)," ")</f>
        <v>BELUM</v>
      </c>
      <c r="AF20" s="219">
        <f>IFERROR((ENTRI!AB20)," ")</f>
        <v>0</v>
      </c>
      <c r="AG20" s="219" t="str">
        <f>IFERROR((ENTRI!AC20)," ")</f>
        <v xml:space="preserve"> </v>
      </c>
      <c r="AH20" s="219">
        <f>IFERROR((ENTRI!AD20)," ")</f>
        <v>0</v>
      </c>
      <c r="AI20" s="219">
        <f>IFERROR((ENTRI!AE20)," ")</f>
        <v>0</v>
      </c>
      <c r="AJ20" s="219">
        <f>IFERROR((ENTRI!AF20)," ")</f>
        <v>0</v>
      </c>
      <c r="AK20" s="219" t="str">
        <f>IFERROR((ENTRI!AG20)," ")</f>
        <v>-</v>
      </c>
      <c r="AL20" s="219" t="str">
        <f>IFERROR((ENTRI!AH20)," ")</f>
        <v>-</v>
      </c>
      <c r="AM20" s="219" t="str">
        <f>IFERROR((ENTRI!AI20)," ")</f>
        <v xml:space="preserve"> </v>
      </c>
      <c r="AN20" s="219" t="str">
        <f>IFERROR((ENTRI!AJ20)," ")</f>
        <v>BELUM</v>
      </c>
      <c r="AO20" s="219">
        <f>IFERROR((ENTRI!AK20)," ")</f>
        <v>0</v>
      </c>
      <c r="AP20" s="219">
        <f>IFERROR((ENTRI!AL20)," ")</f>
        <v>0</v>
      </c>
      <c r="AQ20" s="219" t="str">
        <f>IFERROR((ENTRI!AM20)," ")</f>
        <v>6363763665120003</v>
      </c>
      <c r="AR20" s="216" t="str">
        <f>E20&amp;"."&amp;H20&amp;"."&amp;AW20&amp;"."&amp;ENTRI!$E$4</f>
        <v>03.01.013.2025</v>
      </c>
      <c r="AS20" t="str">
        <f>"YPP.QH/KP.01."&amp;E20&amp;"/"&amp;AW20&amp;"/"&amp;ENTRI!$E$4</f>
        <v>YPP.QH/KP.01.03/013/2025</v>
      </c>
      <c r="AW20" s="277" t="s">
        <v>908</v>
      </c>
    </row>
    <row r="21">
      <c r="A21">
        <f t="shared" si="36"/>
        <v>103</v>
      </c>
      <c r="B21" s="276">
        <f t="shared" si="42"/>
        <v>2009</v>
      </c>
      <c r="C21" s="277">
        <v>14</v>
      </c>
      <c r="D21" s="219" t="str">
        <f>IFERROR(IF(ENTRI!B21=$AZ$9,$BA$9,IF(ENTRI!B21=$AZ$10,$BA$10,IF(ENTRI!B21=$AZ$11,$BA$11,IF(ENTRI!B21=$AZ$12,$BA$12,IF(ENTRI!B21=$AZ$13,$BA$13,IF(ENTRI!B21=$AZ$14,$BA$14,IF(ENTRI!B21=$AZ$15,$BA$15,IF(ENTRI!B21=$AZ$16,$BA$16,IF(ENTRI!B21=$AZ$17,$BA$17,IF(ENTRI!B21=$AZ$18,$BA$18," "))))))))))," ")</f>
        <v xml:space="preserve">MI Qomarul Hidayah</v>
      </c>
      <c r="E21" s="219" t="str">
        <f>IFERROR((ENTRI!C21)," ")</f>
        <v>03</v>
      </c>
      <c r="F21" s="219">
        <f t="shared" si="43"/>
        <v>103</v>
      </c>
      <c r="G21" s="219" t="str">
        <f>IFERROR((ENTRI!E21)," ")</f>
        <v>Guru</v>
      </c>
      <c r="H21" s="219" t="str">
        <f>IFERROR((ENTRI!F21)," ")</f>
        <v>01</v>
      </c>
      <c r="I21" s="219" t="str">
        <f>IFERROR((ENTRI!G21)," ")</f>
        <v>MUSTANGIN,S.Pd.I</v>
      </c>
      <c r="J21" s="219" t="str">
        <f>IFERROR((ENTRI!H21)," ")</f>
        <v xml:space="preserve">19851031  201001 03 01 01</v>
      </c>
      <c r="K21" s="219" t="str">
        <f>IFERROR((ENTRI!I21)," ")</f>
        <v>Trenggalek</v>
      </c>
      <c r="L21" s="219">
        <f>IFERROR((ENTRI!J21)," ")</f>
        <v>31</v>
      </c>
      <c r="M21" s="219">
        <f>IFERROR((ENTRI!K21)," ")</f>
        <v>10</v>
      </c>
      <c r="N21" s="219">
        <f>IFERROR((ENTRI!L21)," ")</f>
        <v>1985</v>
      </c>
      <c r="O21" s="219" t="str">
        <f t="shared" si="44"/>
        <v xml:space="preserve">Trenggalek, 31-10-1985</v>
      </c>
      <c r="P21" s="219" t="str">
        <f>IFERROR((ENTRI!N21)," ")</f>
        <v>01</v>
      </c>
      <c r="Q21" s="219" t="str">
        <f>IFERROR((ENTRI!O21)," ")</f>
        <v>01</v>
      </c>
      <c r="R21" s="219">
        <f>IFERROR((ENTRI!P21)," ")</f>
        <v>2010</v>
      </c>
      <c r="S21" s="219" t="str">
        <f t="shared" si="45"/>
        <v>01-01-2010</v>
      </c>
      <c r="T21" s="219" t="str">
        <f>IFERROR((ENTRI!Q21)," ")</f>
        <v>01</v>
      </c>
      <c r="U21" s="219" t="str">
        <f>IFERROR((ENTRI!R21)," ")</f>
        <v>01</v>
      </c>
      <c r="V21" s="219">
        <f>IFERROR((ENTRI!S21)," ")</f>
        <v>2010</v>
      </c>
      <c r="W21" s="219" t="str">
        <f t="shared" si="46"/>
        <v>01-01-2010</v>
      </c>
      <c r="X21" s="219">
        <f>IFERROR((ENTRI!T21)," ")</f>
        <v>15</v>
      </c>
      <c r="Y21" s="219">
        <f>IFERROR((ENTRI!U21)," ")</f>
        <v>15</v>
      </c>
      <c r="Z21" s="219">
        <f>IFERROR((ENTRI!V21)," ")</f>
        <v>15</v>
      </c>
      <c r="AA21" s="219">
        <f>IFERROR((ENTRI!W21)," ")</f>
        <v>15</v>
      </c>
      <c r="AB21" s="219" t="str">
        <f>IFERROR((ENTRI!X21)," ")</f>
        <v>S1</v>
      </c>
      <c r="AC21" s="219" t="str">
        <f>IFERROR((ENTRI!Y21)," ")</f>
        <v>PAI</v>
      </c>
      <c r="AD21" s="219">
        <f>IFERROR((ENTRI!Z21)," ")</f>
        <v>2012</v>
      </c>
      <c r="AE21" s="219" t="str">
        <f>IFERROR((ENTRI!AA21)," ")</f>
        <v>BELUM</v>
      </c>
      <c r="AF21" s="219">
        <f>IFERROR((ENTRI!AB21)," ")</f>
        <v>0</v>
      </c>
      <c r="AG21" s="219" t="str">
        <f>IFERROR((ENTRI!AC21)," ")</f>
        <v xml:space="preserve"> </v>
      </c>
      <c r="AH21" s="219">
        <f>IFERROR((ENTRI!AD21)," ")</f>
        <v>0</v>
      </c>
      <c r="AI21" s="219" t="str">
        <f>IFERROR((ENTRI!AE21)," ")</f>
        <v xml:space="preserve">GURU AGAMA</v>
      </c>
      <c r="AJ21" s="219">
        <f>IFERROR((ENTRI!AF21)," ")</f>
        <v>24</v>
      </c>
      <c r="AK21" s="219" t="str">
        <f>IFERROR((ENTRI!AG21)," ")</f>
        <v>-</v>
      </c>
      <c r="AL21" s="219" t="str">
        <f>IFERROR((ENTRI!AH21)," ")</f>
        <v>-</v>
      </c>
      <c r="AM21" s="219" t="str">
        <f>IFERROR((ENTRI!AI21)," ")</f>
        <v xml:space="preserve"> </v>
      </c>
      <c r="AN21" s="219" t="str">
        <f>IFERROR((ENTRI!AJ21)," ")</f>
        <v>SUDAH</v>
      </c>
      <c r="AO21" s="219">
        <f>IFERROR((ENTRI!AK21)," ")</f>
        <v>2009</v>
      </c>
      <c r="AP21" s="219" t="str">
        <f>IFERROR((ENTRI!AL21)," ")</f>
        <v>091535962003</v>
      </c>
      <c r="AQ21" s="219" t="str">
        <f>IFERROR((ENTRI!AM21)," ")</f>
        <v>4538757658300062</v>
      </c>
      <c r="AR21" s="216" t="str">
        <f>E21&amp;"."&amp;H21&amp;"."&amp;AW21&amp;"."&amp;ENTRI!$E$4</f>
        <v>03.01.014.2025</v>
      </c>
      <c r="AS21" t="str">
        <f>"YPP.QH/KP.01."&amp;E21&amp;"/"&amp;AW21&amp;"/"&amp;ENTRI!$E$4</f>
        <v>YPP.QH/KP.01.03/014/2025</v>
      </c>
      <c r="AW21" s="277" t="s">
        <v>909</v>
      </c>
    </row>
    <row r="22">
      <c r="A22">
        <f t="shared" si="36"/>
        <v>33</v>
      </c>
      <c r="B22" s="276">
        <f t="shared" si="42"/>
        <v>1997</v>
      </c>
      <c r="C22" s="277">
        <v>15</v>
      </c>
      <c r="D22" s="219" t="str">
        <f>IFERROR(IF(ENTRI!B22=$AZ$9,$BA$9,IF(ENTRI!B22=$AZ$10,$BA$10,IF(ENTRI!B22=$AZ$11,$BA$11,IF(ENTRI!B22=$AZ$12,$BA$12,IF(ENTRI!B22=$AZ$13,$BA$13,IF(ENTRI!B22=$AZ$14,$BA$14,IF(ENTRI!B22=$AZ$15,$BA$15,IF(ENTRI!B22=$AZ$16,$BA$16,IF(ENTRI!B22=$AZ$17,$BA$17,IF(ENTRI!B22=$AZ$18,$BA$18," "))))))))))," ")</f>
        <v xml:space="preserve">MI Qomarul Hidayah</v>
      </c>
      <c r="E22" s="219" t="str">
        <f>IFERROR((ENTRI!C22)," ")</f>
        <v>03</v>
      </c>
      <c r="F22" s="219">
        <f t="shared" si="43"/>
        <v>33</v>
      </c>
      <c r="G22" s="219" t="str">
        <f>IFERROR((ENTRI!E22)," ")</f>
        <v>Guru</v>
      </c>
      <c r="H22" s="219" t="str">
        <f>IFERROR((ENTRI!F22)," ")</f>
        <v>01</v>
      </c>
      <c r="I22" s="219" t="str">
        <f>IFERROR((ENTRI!G22)," ")</f>
        <v xml:space="preserve">ENDANG SUMARSIH,S.Pd.I</v>
      </c>
      <c r="J22" s="219" t="str">
        <f>IFERROR((ENTRI!H22)," ")</f>
        <v xml:space="preserve">19800506  200407 03 01 81</v>
      </c>
      <c r="K22" s="219" t="str">
        <f>IFERROR((ENTRI!I22)," ")</f>
        <v xml:space="preserve">Tulung agung</v>
      </c>
      <c r="L22" s="219" t="str">
        <f>IFERROR((ENTRI!J22)," ")</f>
        <v>06</v>
      </c>
      <c r="M22" s="219" t="str">
        <f>IFERROR((ENTRI!K22)," ")</f>
        <v>05</v>
      </c>
      <c r="N22" s="219">
        <f>IFERROR((ENTRI!L22)," ")</f>
        <v>1980</v>
      </c>
      <c r="O22" s="219" t="str">
        <f t="shared" si="44"/>
        <v xml:space="preserve">Tulung agung, 06-05-1980</v>
      </c>
      <c r="P22" s="219">
        <f>IFERROR((ENTRI!N22)," ")</f>
        <v>18</v>
      </c>
      <c r="Q22" s="219" t="str">
        <f>IFERROR((ENTRI!O22)," ")</f>
        <v>07</v>
      </c>
      <c r="R22" s="219">
        <f>IFERROR((ENTRI!P22)," ")</f>
        <v>2004</v>
      </c>
      <c r="S22" s="219" t="str">
        <f t="shared" si="45"/>
        <v>18-07-2004</v>
      </c>
      <c r="T22" s="219">
        <f>IFERROR((ENTRI!Q22)," ")</f>
        <v>18</v>
      </c>
      <c r="U22" s="219" t="str">
        <f>IFERROR((ENTRI!R22)," ")</f>
        <v>07</v>
      </c>
      <c r="V22" s="219">
        <f>IFERROR((ENTRI!S22)," ")</f>
        <v>2004</v>
      </c>
      <c r="W22" s="219" t="str">
        <f t="shared" si="46"/>
        <v>18-07-2004</v>
      </c>
      <c r="X22" s="219">
        <f>IFERROR((ENTRI!T22)," ")</f>
        <v>21</v>
      </c>
      <c r="Y22" s="219">
        <f>IFERROR((ENTRI!U22)," ")</f>
        <v>21</v>
      </c>
      <c r="Z22" s="219">
        <f>IFERROR((ENTRI!V22)," ")</f>
        <v>21</v>
      </c>
      <c r="AA22" s="219">
        <f>IFERROR((ENTRI!W22)," ")</f>
        <v>21</v>
      </c>
      <c r="AB22" s="219" t="str">
        <f>IFERROR((ENTRI!X22)," ")</f>
        <v>S1</v>
      </c>
      <c r="AC22" s="219" t="str">
        <f>IFERROR((ENTRI!Y22)," ")</f>
        <v>PAI</v>
      </c>
      <c r="AD22" s="219">
        <f>IFERROR((ENTRI!Z22)," ")</f>
        <v>2004</v>
      </c>
      <c r="AE22" s="219" t="str">
        <f>IFERROR((ENTRI!AA22)," ")</f>
        <v>BELUM</v>
      </c>
      <c r="AF22" s="219">
        <f>IFERROR((ENTRI!AB22)," ")</f>
        <v>0</v>
      </c>
      <c r="AG22" s="219" t="str">
        <f>IFERROR((ENTRI!AC22)," ")</f>
        <v xml:space="preserve"> </v>
      </c>
      <c r="AH22" s="219">
        <f>IFERROR((ENTRI!AD22)," ")</f>
        <v>0</v>
      </c>
      <c r="AI22" s="219">
        <f>IFERROR((ENTRI!AE22)," ")</f>
        <v>0</v>
      </c>
      <c r="AJ22" s="219">
        <f>IFERROR((ENTRI!AF22)," ")</f>
        <v>25</v>
      </c>
      <c r="AK22" s="219" t="str">
        <f>IFERROR((ENTRI!AG22)," ")</f>
        <v>-</v>
      </c>
      <c r="AL22" s="219" t="str">
        <f>IFERROR((ENTRI!AH22)," ")</f>
        <v>-</v>
      </c>
      <c r="AM22" s="219" t="str">
        <f>IFERROR((ENTRI!AI22)," ")</f>
        <v xml:space="preserve"> </v>
      </c>
      <c r="AN22" s="219" t="str">
        <f>IFERROR((ENTRI!AJ22)," ")</f>
        <v>SUDAH</v>
      </c>
      <c r="AO22" s="219">
        <f>IFERROR((ENTRI!AK22)," ")</f>
        <v>2009</v>
      </c>
      <c r="AP22" s="219" t="str">
        <f>IFERROR((ENTRI!AL22)," ")</f>
        <v>095021192809</v>
      </c>
      <c r="AQ22" s="219" t="str">
        <f>IFERROR((ENTRI!AM22)," ")</f>
        <v>4435751652200022</v>
      </c>
      <c r="AR22" s="216" t="str">
        <f>E22&amp;"."&amp;H22&amp;"."&amp;AW22&amp;"."&amp;ENTRI!$E$4</f>
        <v>03.01.015.2025</v>
      </c>
      <c r="AS22" t="str">
        <f>"YPP.QH/KP.01."&amp;E22&amp;"/"&amp;AW22&amp;"/"&amp;ENTRI!$E$4</f>
        <v>YPP.QH/KP.01.03/015/2025</v>
      </c>
      <c r="AW22" s="277" t="s">
        <v>910</v>
      </c>
    </row>
    <row r="23">
      <c r="A23">
        <f t="shared" si="36"/>
        <v>27</v>
      </c>
      <c r="B23" s="276">
        <f t="shared" si="42"/>
        <v>1996</v>
      </c>
      <c r="C23" s="277">
        <v>16</v>
      </c>
      <c r="D23" s="219" t="str">
        <f>IFERROR(IF(ENTRI!B23=$AZ$9,$BA$9,IF(ENTRI!B23=$AZ$10,$BA$10,IF(ENTRI!B23=$AZ$11,$BA$11,IF(ENTRI!B23=$AZ$12,$BA$12,IF(ENTRI!B23=$AZ$13,$BA$13,IF(ENTRI!B23=$AZ$14,$BA$14,IF(ENTRI!B23=$AZ$15,$BA$15,IF(ENTRI!B23=$AZ$16,$BA$16,IF(ENTRI!B23=$AZ$17,$BA$17,IF(ENTRI!B23=$AZ$18,$BA$18," "))))))))))," ")</f>
        <v xml:space="preserve">MI Qomarul Hidayah</v>
      </c>
      <c r="E23" s="219" t="str">
        <f>IFERROR((ENTRI!C23)," ")</f>
        <v>03</v>
      </c>
      <c r="F23" s="219">
        <f t="shared" si="43"/>
        <v>27</v>
      </c>
      <c r="G23" s="219" t="str">
        <f>IFERROR((ENTRI!E23)," ")</f>
        <v>Guru</v>
      </c>
      <c r="H23" s="219" t="str">
        <f>IFERROR((ENTRI!F23)," ")</f>
        <v>01</v>
      </c>
      <c r="I23" s="219" t="str">
        <f>IFERROR((ENTRI!G23)," ")</f>
        <v xml:space="preserve">NUZULUL MUKAROMAH,S.Pd.I</v>
      </c>
      <c r="J23" s="219" t="str">
        <f>IFERROR((ENTRI!H23)," ")</f>
        <v xml:space="preserve">19861005  200509 03 01 01</v>
      </c>
      <c r="K23" s="219" t="str">
        <f>IFERROR((ENTRI!I23)," ")</f>
        <v>Trenggalek</v>
      </c>
      <c r="L23" s="219" t="str">
        <f>IFERROR((ENTRI!J23)," ")</f>
        <v>05</v>
      </c>
      <c r="M23" s="219">
        <f>IFERROR((ENTRI!K23)," ")</f>
        <v>10</v>
      </c>
      <c r="N23" s="219">
        <f>IFERROR((ENTRI!L23)," ")</f>
        <v>1986</v>
      </c>
      <c r="O23" s="219" t="str">
        <f t="shared" si="44"/>
        <v xml:space="preserve">Trenggalek, 05-10-1986</v>
      </c>
      <c r="P23" s="219" t="str">
        <f>IFERROR((ENTRI!N23)," ")</f>
        <v>01</v>
      </c>
      <c r="Q23" s="219" t="str">
        <f>IFERROR((ENTRI!O23)," ")</f>
        <v>09</v>
      </c>
      <c r="R23" s="219">
        <f>IFERROR((ENTRI!P23)," ")</f>
        <v>2005</v>
      </c>
      <c r="S23" s="219" t="str">
        <f t="shared" si="45"/>
        <v>01-09-2005</v>
      </c>
      <c r="T23" s="219" t="str">
        <f>IFERROR((ENTRI!Q23)," ")</f>
        <v>01</v>
      </c>
      <c r="U23" s="219" t="str">
        <f>IFERROR((ENTRI!R23)," ")</f>
        <v>09</v>
      </c>
      <c r="V23" s="219">
        <f>IFERROR((ENTRI!S23)," ")</f>
        <v>2005</v>
      </c>
      <c r="W23" s="219" t="str">
        <f t="shared" si="46"/>
        <v>01-09-2005</v>
      </c>
      <c r="X23" s="219">
        <f>IFERROR((ENTRI!T23)," ")</f>
        <v>20</v>
      </c>
      <c r="Y23" s="219">
        <f>IFERROR((ENTRI!U23)," ")</f>
        <v>20</v>
      </c>
      <c r="Z23" s="219">
        <f>IFERROR((ENTRI!V23)," ")</f>
        <v>20</v>
      </c>
      <c r="AA23" s="219">
        <f>IFERROR((ENTRI!W23)," ")</f>
        <v>20</v>
      </c>
      <c r="AB23" s="219" t="str">
        <f>IFERROR((ENTRI!X23)," ")</f>
        <v>S1</v>
      </c>
      <c r="AC23" s="219" t="str">
        <f>IFERROR((ENTRI!Y23)," ")</f>
        <v>PAI</v>
      </c>
      <c r="AD23" s="219">
        <f>IFERROR((ENTRI!Z23)," ")</f>
        <v>2005</v>
      </c>
      <c r="AE23" s="219" t="str">
        <f>IFERROR((ENTRI!AA23)," ")</f>
        <v>BELUM</v>
      </c>
      <c r="AF23" s="219">
        <f>IFERROR((ENTRI!AB23)," ")</f>
        <v>0</v>
      </c>
      <c r="AG23" s="219" t="str">
        <f>IFERROR((ENTRI!AC23)," ")</f>
        <v xml:space="preserve"> </v>
      </c>
      <c r="AH23" s="219">
        <f>IFERROR((ENTRI!AD23)," ")</f>
        <v>0</v>
      </c>
      <c r="AI23" s="219">
        <f>IFERROR((ENTRI!AE23)," ")</f>
        <v>0</v>
      </c>
      <c r="AJ23" s="219">
        <f>IFERROR((ENTRI!AF23)," ")</f>
        <v>0</v>
      </c>
      <c r="AK23" s="219" t="str">
        <f>IFERROR((ENTRI!AG23)," ")</f>
        <v>-</v>
      </c>
      <c r="AL23" s="219" t="str">
        <f>IFERROR((ENTRI!AH23)," ")</f>
        <v>-</v>
      </c>
      <c r="AM23" s="219" t="str">
        <f>IFERROR((ENTRI!AI23)," ")</f>
        <v xml:space="preserve"> </v>
      </c>
      <c r="AN23" s="219">
        <f>IFERROR((ENTRI!AJ23)," ")</f>
        <v>0</v>
      </c>
      <c r="AO23" s="219">
        <f>IFERROR((ENTRI!AK23)," ")</f>
        <v>0</v>
      </c>
      <c r="AP23" s="219">
        <f>IFERROR((ENTRI!AL23)," ")</f>
        <v>0</v>
      </c>
      <c r="AQ23" s="219">
        <f>IFERROR((ENTRI!AM23)," ")</f>
        <v>0</v>
      </c>
      <c r="AR23" s="216" t="str">
        <f>E23&amp;"."&amp;H23&amp;"."&amp;AW23&amp;"."&amp;ENTRI!$E$4</f>
        <v>03.01.016.2025</v>
      </c>
      <c r="AS23" t="str">
        <f>"YPP.QH/KP.01."&amp;E23&amp;"/"&amp;AW23&amp;"/"&amp;ENTRI!$E$4</f>
        <v>YPP.QH/KP.01.03/016/2025</v>
      </c>
      <c r="AW23" s="277" t="s">
        <v>911</v>
      </c>
    </row>
    <row r="24">
      <c r="A24">
        <f t="shared" si="36"/>
        <v>19</v>
      </c>
      <c r="B24" s="276">
        <f t="shared" si="42"/>
        <v>1993</v>
      </c>
      <c r="C24" s="277">
        <v>17</v>
      </c>
      <c r="D24" s="219" t="str">
        <f>IFERROR(IF(ENTRI!B24=$AZ$9,$BA$9,IF(ENTRI!B24=$AZ$10,$BA$10,IF(ENTRI!B24=$AZ$11,$BA$11,IF(ENTRI!B24=$AZ$12,$BA$12,IF(ENTRI!B24=$AZ$13,$BA$13,IF(ENTRI!B24=$AZ$14,$BA$14,IF(ENTRI!B24=$AZ$15,$BA$15,IF(ENTRI!B24=$AZ$16,$BA$16,IF(ENTRI!B24=$AZ$17,$BA$17,IF(ENTRI!B24=$AZ$18,$BA$18," "))))))))))," ")</f>
        <v xml:space="preserve">MI Qomarul Hidayah</v>
      </c>
      <c r="E24" s="219" t="str">
        <f>IFERROR((ENTRI!C24)," ")</f>
        <v>03</v>
      </c>
      <c r="F24" s="219">
        <f t="shared" si="43"/>
        <v>19</v>
      </c>
      <c r="G24" s="219" t="str">
        <f>IFERROR((ENTRI!E24)," ")</f>
        <v>Guru</v>
      </c>
      <c r="H24" s="219" t="str">
        <f>IFERROR((ENTRI!F24)," ")</f>
        <v>01</v>
      </c>
      <c r="I24" s="219" t="str">
        <f>IFERROR((ENTRI!G24)," ")</f>
        <v xml:space="preserve">KHOIRUL BAHRI,S.Pd</v>
      </c>
      <c r="J24" s="219" t="str">
        <f>IFERROR((ENTRI!H24)," ")</f>
        <v xml:space="preserve">19730301  200007 03 01 66</v>
      </c>
      <c r="K24" s="219" t="str">
        <f>IFERROR((ENTRI!I24)," ")</f>
        <v>Trenggalek</v>
      </c>
      <c r="L24" s="219" t="str">
        <f>IFERROR((ENTRI!J24)," ")</f>
        <v>01</v>
      </c>
      <c r="M24" s="219" t="str">
        <f>IFERROR((ENTRI!K24)," ")</f>
        <v>03</v>
      </c>
      <c r="N24" s="219">
        <f>IFERROR((ENTRI!L24)," ")</f>
        <v>1973</v>
      </c>
      <c r="O24" s="219" t="str">
        <f t="shared" si="44"/>
        <v xml:space="preserve">Trenggalek, 01-03-1973</v>
      </c>
      <c r="P24" s="219" t="str">
        <f>IFERROR((ENTRI!N24)," ")</f>
        <v>01</v>
      </c>
      <c r="Q24" s="219" t="str">
        <f>IFERROR((ENTRI!O24)," ")</f>
        <v>07</v>
      </c>
      <c r="R24" s="219">
        <f>IFERROR((ENTRI!P24)," ")</f>
        <v>2000</v>
      </c>
      <c r="S24" s="219" t="str">
        <f t="shared" si="45"/>
        <v>01-07-2000</v>
      </c>
      <c r="T24" s="219" t="str">
        <f>IFERROR((ENTRI!Q24)," ")</f>
        <v>01</v>
      </c>
      <c r="U24" s="219" t="str">
        <f>IFERROR((ENTRI!R24)," ")</f>
        <v>07</v>
      </c>
      <c r="V24" s="219">
        <f>IFERROR((ENTRI!S24)," ")</f>
        <v>2000</v>
      </c>
      <c r="W24" s="219" t="str">
        <f t="shared" si="46"/>
        <v>01-07-2000</v>
      </c>
      <c r="X24" s="219">
        <f>IFERROR((ENTRI!T24)," ")</f>
        <v>25</v>
      </c>
      <c r="Y24" s="219">
        <f>IFERROR((ENTRI!U24)," ")</f>
        <v>25</v>
      </c>
      <c r="Z24" s="219">
        <f>IFERROR((ENTRI!V24)," ")</f>
        <v>25</v>
      </c>
      <c r="AA24" s="219">
        <f>IFERROR((ENTRI!W24)," ")</f>
        <v>25</v>
      </c>
      <c r="AB24" s="219" t="str">
        <f>IFERROR((ENTRI!X24)," ")</f>
        <v>S1</v>
      </c>
      <c r="AC24" s="219" t="str">
        <f>IFERROR((ENTRI!Y24)," ")</f>
        <v>PIPS/PKN</v>
      </c>
      <c r="AD24" s="219">
        <f>IFERROR((ENTRI!Z24)," ")</f>
        <v>0</v>
      </c>
      <c r="AE24" s="219" t="str">
        <f>IFERROR((ENTRI!AA24)," ")</f>
        <v>SUDAH</v>
      </c>
      <c r="AF24" s="219">
        <f>IFERROR((ENTRI!AB24)," ")</f>
        <v>0</v>
      </c>
      <c r="AG24" s="219" t="str">
        <f>IFERROR((ENTRI!AC24)," ")</f>
        <v xml:space="preserve"> </v>
      </c>
      <c r="AH24" s="219">
        <f>IFERROR((ENTRI!AD24)," ")</f>
        <v>0</v>
      </c>
      <c r="AI24" s="219">
        <f>IFERROR((ENTRI!AE24)," ")</f>
        <v>0</v>
      </c>
      <c r="AJ24" s="219">
        <f>IFERROR((ENTRI!AF24)," ")</f>
        <v>26</v>
      </c>
      <c r="AK24" s="219" t="str">
        <f>IFERROR((ENTRI!AG24)," ")</f>
        <v>-</v>
      </c>
      <c r="AL24" s="219" t="str">
        <f>IFERROR((ENTRI!AH24)," ")</f>
        <v>-</v>
      </c>
      <c r="AM24" s="219" t="str">
        <f>IFERROR((ENTRI!AI24)," ")</f>
        <v xml:space="preserve"> </v>
      </c>
      <c r="AN24" s="219">
        <f>IFERROR((ENTRI!AJ24)," ")</f>
        <v>0</v>
      </c>
      <c r="AO24" s="219">
        <f>IFERROR((ENTRI!AK24)," ")</f>
        <v>0</v>
      </c>
      <c r="AP24" s="219">
        <f>IFERROR((ENTRI!AL24)," ")</f>
        <v>0</v>
      </c>
      <c r="AQ24" s="219">
        <f>IFERROR((ENTRI!AM24)," ")</f>
        <v>0</v>
      </c>
      <c r="AR24" s="216" t="str">
        <f>E24&amp;"."&amp;H24&amp;"."&amp;AW24&amp;"."&amp;ENTRI!$E$4</f>
        <v>03.01.017.2025</v>
      </c>
      <c r="AS24" t="str">
        <f>"YPP.QH/KP.01."&amp;E24&amp;"/"&amp;AW24&amp;"/"&amp;ENTRI!$E$4</f>
        <v>YPP.QH/KP.01.03/017/2025</v>
      </c>
      <c r="AW24" s="277" t="s">
        <v>912</v>
      </c>
    </row>
    <row r="25">
      <c r="A25">
        <f t="shared" si="36"/>
        <v>95</v>
      </c>
      <c r="B25" s="276">
        <f t="shared" si="42"/>
        <v>2007</v>
      </c>
      <c r="C25" s="277">
        <v>18</v>
      </c>
      <c r="D25" s="219" t="str">
        <f>IFERROR(IF(ENTRI!B25=$AZ$9,$BA$9,IF(ENTRI!B25=$AZ$10,$BA$10,IF(ENTRI!B25=$AZ$11,$BA$11,IF(ENTRI!B25=$AZ$12,$BA$12,IF(ENTRI!B25=$AZ$13,$BA$13,IF(ENTRI!B25=$AZ$14,$BA$14,IF(ENTRI!B25=$AZ$15,$BA$15,IF(ENTRI!B25=$AZ$16,$BA$16,IF(ENTRI!B25=$AZ$17,$BA$17,IF(ENTRI!B25=$AZ$18,$BA$18," "))))))))))," ")</f>
        <v xml:space="preserve">MTs Qomarul Hidayah</v>
      </c>
      <c r="E25" s="219" t="str">
        <f>IFERROR((ENTRI!C25)," ")</f>
        <v>04</v>
      </c>
      <c r="F25" s="219">
        <f t="shared" si="43"/>
        <v>95</v>
      </c>
      <c r="G25" s="219" t="str">
        <f>IFERROR((ENTRI!E25)," ")</f>
        <v xml:space="preserve">Kepala Madrasah</v>
      </c>
      <c r="H25" s="219" t="str">
        <f>IFERROR((ENTRI!F25)," ")</f>
        <v xml:space="preserve"> </v>
      </c>
      <c r="I25" s="219" t="str">
        <f>IFERROR((ENTRI!G25)," ")</f>
        <v xml:space="preserve">H. SYAIFUL MAHBUB, S.Sy</v>
      </c>
      <c r="J25" s="219" t="str">
        <f>IFERROR((ENTRI!H25)," ")</f>
        <v xml:space="preserve">19860214  201407 04   57</v>
      </c>
      <c r="K25" s="219" t="str">
        <f>IFERROR((ENTRI!I25)," ")</f>
        <v>Trenggalek</v>
      </c>
      <c r="L25" s="219">
        <f>IFERROR((ENTRI!J25)," ")</f>
        <v>14</v>
      </c>
      <c r="M25" s="219" t="str">
        <f>IFERROR((ENTRI!K25)," ")</f>
        <v>02</v>
      </c>
      <c r="N25" s="219">
        <f>IFERROR((ENTRI!L25)," ")</f>
        <v>1986</v>
      </c>
      <c r="O25" s="219" t="str">
        <f t="shared" si="44"/>
        <v xml:space="preserve">Trenggalek, 14-02-1986</v>
      </c>
      <c r="P25" s="219" t="str">
        <f>IFERROR((ENTRI!N25)," ")</f>
        <v>16</v>
      </c>
      <c r="Q25" s="219" t="str">
        <f>IFERROR((ENTRI!O25)," ")</f>
        <v>07</v>
      </c>
      <c r="R25" s="219">
        <f>IFERROR((ENTRI!P25)," ")</f>
        <v>2014</v>
      </c>
      <c r="S25" s="219" t="str">
        <f t="shared" si="45"/>
        <v>16-07-2014</v>
      </c>
      <c r="T25" s="219" t="str">
        <f>IFERROR((ENTRI!Q25)," ")</f>
        <v>16</v>
      </c>
      <c r="U25" s="219" t="str">
        <f>IFERROR((ENTRI!R25)," ")</f>
        <v>07</v>
      </c>
      <c r="V25" s="219">
        <f>IFERROR((ENTRI!S25)," ")</f>
        <v>2014</v>
      </c>
      <c r="W25" s="219" t="str">
        <f t="shared" si="46"/>
        <v>16-07-2014</v>
      </c>
      <c r="X25" s="219">
        <f>IFERROR((ENTRI!T25)," ")</f>
        <v>11</v>
      </c>
      <c r="Y25" s="219">
        <f>IFERROR((ENTRI!U25)," ")</f>
        <v>11</v>
      </c>
      <c r="Z25" s="219">
        <f>IFERROR((ENTRI!V25)," ")</f>
        <v>11</v>
      </c>
      <c r="AA25" s="219">
        <f>IFERROR((ENTRI!W25)," ")</f>
        <v>11</v>
      </c>
      <c r="AB25" s="219" t="str">
        <f>IFERROR((ENTRI!X25)," ")</f>
        <v>S1</v>
      </c>
      <c r="AC25" s="219" t="str">
        <f>IFERROR((ENTRI!Y25)," ")</f>
        <v>Syariah</v>
      </c>
      <c r="AD25" s="219">
        <f>IFERROR((ENTRI!Z25)," ")</f>
        <v>2013</v>
      </c>
      <c r="AE25" s="219" t="str">
        <f>IFERROR((ENTRI!AA25)," ")</f>
        <v>BELUM</v>
      </c>
      <c r="AF25" s="219">
        <f>IFERROR((ENTRI!AB25)," ")</f>
        <v>0</v>
      </c>
      <c r="AG25" s="219" t="str">
        <f>IFERROR((ENTRI!AC25)," ")</f>
        <v xml:space="preserve"> </v>
      </c>
      <c r="AH25" s="219">
        <f>IFERROR((ENTRI!AD25)," ")</f>
        <v>0</v>
      </c>
      <c r="AI25" s="219" t="str">
        <f>IFERROR((ENTRI!AE25)," ")</f>
        <v>Aswaja</v>
      </c>
      <c r="AJ25" s="219">
        <f>IFERROR((ENTRI!AF25)," ")</f>
        <v>0</v>
      </c>
      <c r="AK25" s="219" t="str">
        <f>IFERROR((ENTRI!AG25)," ")</f>
        <v xml:space="preserve">Kepala Madrasah</v>
      </c>
      <c r="AL25" s="219">
        <f>IFERROR((ENTRI!AH25)," ")</f>
        <v>18</v>
      </c>
      <c r="AM25" s="219">
        <f>IFERROR((ENTRI!AI25)," ")</f>
        <v>18</v>
      </c>
      <c r="AN25" s="219" t="str">
        <f>IFERROR((ENTRI!AJ25)," ")</f>
        <v>BELUM</v>
      </c>
      <c r="AO25" s="219">
        <f>IFERROR((ENTRI!AK25)," ")</f>
        <v>0</v>
      </c>
      <c r="AP25" s="219">
        <f>IFERROR((ENTRI!AL25)," ")</f>
        <v>0</v>
      </c>
      <c r="AQ25" s="219" t="str">
        <f>IFERROR((ENTRI!AM25)," ")</f>
        <v>20542411186001</v>
      </c>
      <c r="AR25" s="216" t="str">
        <f>E25&amp;"."&amp;H25&amp;"."&amp;AW25&amp;"."&amp;ENTRI!$E$4</f>
        <v xml:space="preserve">04. .018.2025</v>
      </c>
      <c r="AS25" t="str">
        <f>"YPP.QH/KP.01."&amp;E25&amp;"/"&amp;AW25&amp;"/"&amp;ENTRI!$E$4</f>
        <v>YPP.QH/KP.01.04/018/2025</v>
      </c>
      <c r="AW25" s="277" t="s">
        <v>913</v>
      </c>
    </row>
    <row r="26">
      <c r="A26">
        <f t="shared" si="36"/>
        <v>69</v>
      </c>
      <c r="B26" s="276">
        <f t="shared" si="42"/>
        <v>2003</v>
      </c>
      <c r="C26" s="277">
        <v>19</v>
      </c>
      <c r="D26" s="219" t="str">
        <f>IFERROR(IF(ENTRI!B26=$AZ$9,$BA$9,IF(ENTRI!B26=$AZ$10,$BA$10,IF(ENTRI!B26=$AZ$11,$BA$11,IF(ENTRI!B26=$AZ$12,$BA$12,IF(ENTRI!B26=$AZ$13,$BA$13,IF(ENTRI!B26=$AZ$14,$BA$14,IF(ENTRI!B26=$AZ$15,$BA$15,IF(ENTRI!B26=$AZ$16,$BA$16,IF(ENTRI!B26=$AZ$17,$BA$17,IF(ENTRI!B26=$AZ$18,$BA$18," "))))))))))," ")</f>
        <v xml:space="preserve">MTs Qomarul Hidayah</v>
      </c>
      <c r="E26" s="219" t="str">
        <f>IFERROR((ENTRI!C26)," ")</f>
        <v>04</v>
      </c>
      <c r="F26" s="219">
        <f t="shared" si="43"/>
        <v>69</v>
      </c>
      <c r="G26" s="219" t="str">
        <f>IFERROR((ENTRI!E26)," ")</f>
        <v>Guru</v>
      </c>
      <c r="H26" s="219" t="str">
        <f>IFERROR((ENTRI!F26)," ")</f>
        <v>01</v>
      </c>
      <c r="I26" s="219" t="str">
        <f>IFERROR((ENTRI!G26)," ")</f>
        <v xml:space="preserve">INDRA GUNAWAN,S.Pd.I</v>
      </c>
      <c r="J26" s="219" t="str">
        <f>IFERROR((ENTRI!H26)," ")</f>
        <v xml:space="preserve">19891129  201007 04 01 26</v>
      </c>
      <c r="K26" s="219" t="str">
        <f>IFERROR((ENTRI!I26)," ")</f>
        <v>Trenggalek</v>
      </c>
      <c r="L26" s="219">
        <f>IFERROR((ENTRI!J26)," ")</f>
        <v>29</v>
      </c>
      <c r="M26" s="219">
        <f>IFERROR((ENTRI!K26)," ")</f>
        <v>11</v>
      </c>
      <c r="N26" s="219">
        <f>IFERROR((ENTRI!L26)," ")</f>
        <v>1989</v>
      </c>
      <c r="O26" s="219" t="str">
        <f t="shared" si="44"/>
        <v xml:space="preserve">Trenggalek, 29-11-1989</v>
      </c>
      <c r="P26" s="219">
        <f>IFERROR((ENTRI!N26)," ")</f>
        <v>12</v>
      </c>
      <c r="Q26" s="219" t="str">
        <f>IFERROR((ENTRI!O26)," ")</f>
        <v>07</v>
      </c>
      <c r="R26" s="219">
        <f>IFERROR((ENTRI!P26)," ")</f>
        <v>2010</v>
      </c>
      <c r="S26" s="219" t="str">
        <f t="shared" si="45"/>
        <v>12-07-2010</v>
      </c>
      <c r="T26" s="219">
        <f>IFERROR((ENTRI!Q26)," ")</f>
        <v>12</v>
      </c>
      <c r="U26" s="219" t="str">
        <f>IFERROR((ENTRI!R26)," ")</f>
        <v>07</v>
      </c>
      <c r="V26" s="219">
        <f>IFERROR((ENTRI!S26)," ")</f>
        <v>2010</v>
      </c>
      <c r="W26" s="219" t="str">
        <f t="shared" si="46"/>
        <v>12-07-2010</v>
      </c>
      <c r="X26" s="219">
        <f>IFERROR((ENTRI!T26)," ")</f>
        <v>15</v>
      </c>
      <c r="Y26" s="219">
        <f>IFERROR((ENTRI!U26)," ")</f>
        <v>15</v>
      </c>
      <c r="Z26" s="219">
        <f>IFERROR((ENTRI!V26)," ")</f>
        <v>15</v>
      </c>
      <c r="AA26" s="219">
        <f>IFERROR((ENTRI!W26)," ")</f>
        <v>15</v>
      </c>
      <c r="AB26" s="219" t="str">
        <f>IFERROR((ENTRI!X26)," ")</f>
        <v>S1</v>
      </c>
      <c r="AC26" s="219" t="str">
        <f>IFERROR((ENTRI!Y26)," ")</f>
        <v xml:space="preserve">Pendidikan Agama Islam</v>
      </c>
      <c r="AD26" s="219">
        <f>IFERROR((ENTRI!Z26)," ")</f>
        <v>2015</v>
      </c>
      <c r="AE26" s="219" t="str">
        <f>IFERROR((ENTRI!AA26)," ")</f>
        <v>BELUM</v>
      </c>
      <c r="AF26" s="219">
        <f>IFERROR((ENTRI!AB26)," ")</f>
        <v>0</v>
      </c>
      <c r="AG26" s="219" t="str">
        <f>IFERROR((ENTRI!AC26)," ")</f>
        <v xml:space="preserve"> </v>
      </c>
      <c r="AH26" s="219">
        <f>IFERROR((ENTRI!AD26)," ")</f>
        <v>0</v>
      </c>
      <c r="AI26" s="219" t="str">
        <f>IFERROR((ENTRI!AE26)," ")</f>
        <v>Aswaja</v>
      </c>
      <c r="AJ26" s="219">
        <f>IFERROR((ENTRI!AF26)," ")</f>
        <v>7</v>
      </c>
      <c r="AK26" s="219" t="str">
        <f>IFERROR((ENTRI!AG26)," ")</f>
        <v xml:space="preserve">Kepala Tata Usaha</v>
      </c>
      <c r="AL26" s="219" t="str">
        <f>IFERROR((ENTRI!AH26)," ")</f>
        <v>-</v>
      </c>
      <c r="AM26" s="219" t="str">
        <f>IFERROR((ENTRI!AI26)," ")</f>
        <v xml:space="preserve"> </v>
      </c>
      <c r="AN26" s="219" t="str">
        <f>IFERROR((ENTRI!AJ26)," ")</f>
        <v>BELUM</v>
      </c>
      <c r="AO26" s="219" t="str">
        <f>IFERROR((ENTRI!AK26)," ")</f>
        <v>-</v>
      </c>
      <c r="AP26" s="219" t="str">
        <f>IFERROR((ENTRI!AL26)," ")</f>
        <v>-</v>
      </c>
      <c r="AQ26" s="219" t="str">
        <f>IFERROR((ENTRI!AM26)," ")</f>
        <v>20542411189001</v>
      </c>
      <c r="AR26" s="216" t="str">
        <f>E26&amp;"."&amp;H26&amp;"."&amp;AW26&amp;"."&amp;ENTRI!$E$4</f>
        <v>04.01.019.2025</v>
      </c>
      <c r="AS26" t="str">
        <f>"YPP.QH/KP.01."&amp;E26&amp;"/"&amp;AW26&amp;"/"&amp;ENTRI!$E$4</f>
        <v>YPP.QH/KP.01.04/019/2025</v>
      </c>
      <c r="AW26" s="277" t="s">
        <v>914</v>
      </c>
    </row>
    <row r="27">
      <c r="A27">
        <f t="shared" si="36"/>
        <v>39</v>
      </c>
      <c r="B27" s="276">
        <f t="shared" si="42"/>
        <v>1998</v>
      </c>
      <c r="C27" s="277">
        <v>20</v>
      </c>
      <c r="D27" s="219" t="str">
        <f>IFERROR(IF(ENTRI!B27=$AZ$9,$BA$9,IF(ENTRI!B27=$AZ$10,$BA$10,IF(ENTRI!B27=$AZ$11,$BA$11,IF(ENTRI!B27=$AZ$12,$BA$12,IF(ENTRI!B27=$AZ$13,$BA$13,IF(ENTRI!B27=$AZ$14,$BA$14,IF(ENTRI!B27=$AZ$15,$BA$15,IF(ENTRI!B27=$AZ$16,$BA$16,IF(ENTRI!B27=$AZ$17,$BA$17,IF(ENTRI!B27=$AZ$18,$BA$18," "))))))))))," ")</f>
        <v xml:space="preserve">MTs Qomarul Hidayah</v>
      </c>
      <c r="E27" s="219" t="str">
        <f>IFERROR((ENTRI!C27)," ")</f>
        <v>04</v>
      </c>
      <c r="F27" s="219">
        <f t="shared" si="43"/>
        <v>39</v>
      </c>
      <c r="G27" s="219" t="str">
        <f>IFERROR((ENTRI!E27)," ")</f>
        <v>Guru</v>
      </c>
      <c r="H27" s="219" t="str">
        <f>IFERROR((ENTRI!F27)," ")</f>
        <v>01</v>
      </c>
      <c r="I27" s="219" t="str">
        <f>IFERROR((ENTRI!G27)," ")</f>
        <v xml:space="preserve">SUGENG SUPRAYOGO, S.Pd</v>
      </c>
      <c r="J27" s="219" t="str">
        <f>IFERROR((ENTRI!H27)," ")</f>
        <v xml:space="preserve">19830428  200507 04 01 95</v>
      </c>
      <c r="K27" s="219" t="str">
        <f>IFERROR((ENTRI!I27)," ")</f>
        <v>Trenggalek</v>
      </c>
      <c r="L27" s="219">
        <f>IFERROR((ENTRI!J27)," ")</f>
        <v>28</v>
      </c>
      <c r="M27" s="219" t="str">
        <f>IFERROR((ENTRI!K27)," ")</f>
        <v>04</v>
      </c>
      <c r="N27" s="219">
        <f>IFERROR((ENTRI!L27)," ")</f>
        <v>1983</v>
      </c>
      <c r="O27" s="219" t="str">
        <f t="shared" si="44"/>
        <v xml:space="preserve">Trenggalek, 28-04-1983</v>
      </c>
      <c r="P27" s="219">
        <f>IFERROR((ENTRI!N27)," ")</f>
        <v>18</v>
      </c>
      <c r="Q27" s="219" t="str">
        <f>IFERROR((ENTRI!O27)," ")</f>
        <v>07</v>
      </c>
      <c r="R27" s="219">
        <f>IFERROR((ENTRI!P27)," ")</f>
        <v>2005</v>
      </c>
      <c r="S27" s="219" t="str">
        <f t="shared" si="45"/>
        <v>18-07-2005</v>
      </c>
      <c r="T27" s="219">
        <f>IFERROR((ENTRI!Q27)," ")</f>
        <v>18</v>
      </c>
      <c r="U27" s="219" t="str">
        <f>IFERROR((ENTRI!R27)," ")</f>
        <v>07</v>
      </c>
      <c r="V27" s="219">
        <f>IFERROR((ENTRI!S27)," ")</f>
        <v>2005</v>
      </c>
      <c r="W27" s="219" t="str">
        <f t="shared" si="46"/>
        <v>18-07-2005</v>
      </c>
      <c r="X27" s="219">
        <f>IFERROR((ENTRI!T27)," ")</f>
        <v>20</v>
      </c>
      <c r="Y27" s="219">
        <f>IFERROR((ENTRI!U27)," ")</f>
        <v>20</v>
      </c>
      <c r="Z27" s="219">
        <f>IFERROR((ENTRI!V27)," ")</f>
        <v>20</v>
      </c>
      <c r="AA27" s="219">
        <f>IFERROR((ENTRI!W27)," ")</f>
        <v>20</v>
      </c>
      <c r="AB27" s="219" t="str">
        <f>IFERROR((ENTRI!X27)," ")</f>
        <v>S1</v>
      </c>
      <c r="AC27" s="219" t="str">
        <f>IFERROR((ENTRI!Y27)," ")</f>
        <v xml:space="preserve">Pendidikan Agama Islam</v>
      </c>
      <c r="AD27" s="219">
        <f>IFERROR((ENTRI!Z27)," ")</f>
        <v>2016</v>
      </c>
      <c r="AE27" s="219" t="str">
        <f>IFERROR((ENTRI!AA27)," ")</f>
        <v>BELUM</v>
      </c>
      <c r="AF27" s="219">
        <f>IFERROR((ENTRI!AB27)," ")</f>
        <v>0</v>
      </c>
      <c r="AG27" s="219" t="str">
        <f>IFERROR((ENTRI!AC27)," ")</f>
        <v xml:space="preserve"> </v>
      </c>
      <c r="AH27" s="219">
        <f>IFERROR((ENTRI!AD27)," ")</f>
        <v>0</v>
      </c>
      <c r="AI27" s="219" t="str">
        <f>IFERROR((ENTRI!AE27)," ")</f>
        <v xml:space="preserve">Seni Budaya</v>
      </c>
      <c r="AJ27" s="219">
        <f>IFERROR((ENTRI!AF27)," ")</f>
        <v>0</v>
      </c>
      <c r="AK27" s="219" t="str">
        <f>IFERROR((ENTRI!AG27)," ")</f>
        <v xml:space="preserve">Waka Kurikulum</v>
      </c>
      <c r="AL27" s="219">
        <f>IFERROR((ENTRI!AH27)," ")</f>
        <v>12</v>
      </c>
      <c r="AM27" s="219">
        <f>IFERROR((ENTRI!AI27)," ")</f>
        <v>12</v>
      </c>
      <c r="AN27" s="219" t="str">
        <f>IFERROR((ENTRI!AJ27)," ")</f>
        <v>SUDAH</v>
      </c>
      <c r="AO27" s="219">
        <f>IFERROR((ENTRI!AK27)," ")</f>
        <v>2014</v>
      </c>
      <c r="AP27" s="219">
        <f>IFERROR((ENTRI!AL27)," ")</f>
        <v>0</v>
      </c>
      <c r="AQ27" s="219" t="str">
        <f>IFERROR((ENTRI!AM27)," ")</f>
        <v>3760761663110042</v>
      </c>
      <c r="AR27" s="216" t="str">
        <f>E27&amp;"."&amp;H27&amp;"."&amp;AW27&amp;"."&amp;ENTRI!$E$4</f>
        <v>04.01.020.2025</v>
      </c>
      <c r="AS27" t="str">
        <f>"YPP.QH/KP.01."&amp;E27&amp;"/"&amp;AW27&amp;"/"&amp;ENTRI!$E$4</f>
        <v>YPP.QH/KP.01.04/020/2025</v>
      </c>
      <c r="AW27" s="277" t="s">
        <v>915</v>
      </c>
    </row>
    <row r="28">
      <c r="A28">
        <f t="shared" si="36"/>
        <v>39</v>
      </c>
      <c r="B28" s="276">
        <f t="shared" si="42"/>
        <v>1998</v>
      </c>
      <c r="C28" s="277">
        <v>21</v>
      </c>
      <c r="D28" s="219" t="str">
        <f>IFERROR(IF(ENTRI!B28=$AZ$9,$BA$9,IF(ENTRI!B28=$AZ$10,$BA$10,IF(ENTRI!B28=$AZ$11,$BA$11,IF(ENTRI!B28=$AZ$12,$BA$12,IF(ENTRI!B28=$AZ$13,$BA$13,IF(ENTRI!B28=$AZ$14,$BA$14,IF(ENTRI!B28=$AZ$15,$BA$15,IF(ENTRI!B28=$AZ$16,$BA$16,IF(ENTRI!B28=$AZ$17,$BA$17,IF(ENTRI!B28=$AZ$18,$BA$18," "))))))))))," ")</f>
        <v xml:space="preserve">MTs Qomarul Hidayah</v>
      </c>
      <c r="E28" s="219" t="str">
        <f>IFERROR((ENTRI!C28)," ")</f>
        <v>04</v>
      </c>
      <c r="F28" s="219">
        <f t="shared" si="43"/>
        <v>39</v>
      </c>
      <c r="G28" s="219" t="str">
        <f>IFERROR((ENTRI!E28)," ")</f>
        <v>Guru</v>
      </c>
      <c r="H28" s="219" t="str">
        <f>IFERROR((ENTRI!F28)," ")</f>
        <v>01</v>
      </c>
      <c r="I28" s="219" t="str">
        <f>IFERROR((ENTRI!G28)," ")</f>
        <v xml:space="preserve">BAROKALLAH, S.Sos</v>
      </c>
      <c r="J28" s="219" t="str">
        <f>IFERROR((ENTRI!H28)," ")</f>
        <v xml:space="preserve">19771010  200507 04 01 95</v>
      </c>
      <c r="K28" s="219" t="str">
        <f>IFERROR((ENTRI!I28)," ")</f>
        <v>Kediri</v>
      </c>
      <c r="L28" s="219">
        <f>IFERROR((ENTRI!J28)," ")</f>
        <v>10</v>
      </c>
      <c r="M28" s="219">
        <f>IFERROR((ENTRI!K28)," ")</f>
        <v>10</v>
      </c>
      <c r="N28" s="219">
        <f>IFERROR((ENTRI!L28)," ")</f>
        <v>1977</v>
      </c>
      <c r="O28" s="219" t="str">
        <f t="shared" si="44"/>
        <v xml:space="preserve">Kediri, 10-10-1977</v>
      </c>
      <c r="P28" s="219">
        <f>IFERROR((ENTRI!N28)," ")</f>
        <v>16</v>
      </c>
      <c r="Q28" s="219" t="str">
        <f>IFERROR((ENTRI!O28)," ")</f>
        <v>07</v>
      </c>
      <c r="R28" s="219">
        <f>IFERROR((ENTRI!P28)," ")</f>
        <v>2005</v>
      </c>
      <c r="S28" s="219" t="str">
        <f t="shared" si="45"/>
        <v>16-07-2005</v>
      </c>
      <c r="T28" s="219" t="str">
        <f>IFERROR((ENTRI!Q28)," ")</f>
        <v>16</v>
      </c>
      <c r="U28" s="219" t="str">
        <f>IFERROR((ENTRI!R28)," ")</f>
        <v>07</v>
      </c>
      <c r="V28" s="219">
        <f>IFERROR((ENTRI!S28)," ")</f>
        <v>2005</v>
      </c>
      <c r="W28" s="219" t="str">
        <f t="shared" si="46"/>
        <v>16-07-2005</v>
      </c>
      <c r="X28" s="219">
        <f>IFERROR((ENTRI!T28)," ")</f>
        <v>20</v>
      </c>
      <c r="Y28" s="219">
        <f>IFERROR((ENTRI!U28)," ")</f>
        <v>20</v>
      </c>
      <c r="Z28" s="219">
        <f>IFERROR((ENTRI!V28)," ")</f>
        <v>20</v>
      </c>
      <c r="AA28" s="219">
        <f>IFERROR((ENTRI!W28)," ")</f>
        <v>20</v>
      </c>
      <c r="AB28" s="219" t="str">
        <f>IFERROR((ENTRI!X28)," ")</f>
        <v>S1</v>
      </c>
      <c r="AC28" s="219" t="str">
        <f>IFERROR((ENTRI!Y28)," ")</f>
        <v xml:space="preserve">Ilmu Sosial dan Ilmu Politik</v>
      </c>
      <c r="AD28" s="219">
        <f>IFERROR((ENTRI!Z28)," ")</f>
        <v>2005</v>
      </c>
      <c r="AE28" s="219" t="str">
        <f>IFERROR((ENTRI!AA28)," ")</f>
        <v>BELUM</v>
      </c>
      <c r="AF28" s="219">
        <f>IFERROR((ENTRI!AB28)," ")</f>
        <v>0</v>
      </c>
      <c r="AG28" s="219" t="str">
        <f>IFERROR((ENTRI!AC28)," ")</f>
        <v xml:space="preserve"> </v>
      </c>
      <c r="AH28" s="219">
        <f>IFERROR((ENTRI!AD28)," ")</f>
        <v>0</v>
      </c>
      <c r="AI28" s="219" t="str">
        <f>IFERROR((ENTRI!AE28)," ")</f>
        <v>PKn</v>
      </c>
      <c r="AJ28" s="219">
        <f>IFERROR((ENTRI!AF28)," ")</f>
        <v>0</v>
      </c>
      <c r="AK28" s="219" t="str">
        <f>IFERROR((ENTRI!AG28)," ")</f>
        <v xml:space="preserve">Waka Sarana Prasarana</v>
      </c>
      <c r="AL28" s="219">
        <f>IFERROR((ENTRI!AH28)," ")</f>
        <v>12</v>
      </c>
      <c r="AM28" s="219">
        <f>IFERROR((ENTRI!AI28)," ")</f>
        <v>12</v>
      </c>
      <c r="AN28" s="219" t="str">
        <f>IFERROR((ENTRI!AJ28)," ")</f>
        <v>SUDAH</v>
      </c>
      <c r="AO28" s="219">
        <f>IFERROR((ENTRI!AK28)," ")</f>
        <v>2013</v>
      </c>
      <c r="AP28" s="219" t="str">
        <f>IFERROR((ENTRI!AL28)," ")</f>
        <v>131542179003</v>
      </c>
      <c r="AQ28" s="219" t="str">
        <f>IFERROR((ENTRI!AM28)," ")</f>
        <v>7342755657110113</v>
      </c>
      <c r="AR28" s="216" t="str">
        <f>E28&amp;"."&amp;H28&amp;"."&amp;AW28&amp;"."&amp;ENTRI!$E$4</f>
        <v>04.01.021.2025</v>
      </c>
      <c r="AS28" t="str">
        <f>"YPP.QH/KP.01."&amp;E28&amp;"/"&amp;AW28&amp;"/"&amp;ENTRI!$E$4</f>
        <v>YPP.QH/KP.01.04/021/2025</v>
      </c>
      <c r="AW28" s="277" t="s">
        <v>916</v>
      </c>
    </row>
    <row r="29">
      <c r="A29">
        <f t="shared" si="36"/>
        <v>8</v>
      </c>
      <c r="B29" s="276">
        <f t="shared" si="42"/>
        <v>1986</v>
      </c>
      <c r="C29" s="277">
        <v>22</v>
      </c>
      <c r="D29" s="219" t="str">
        <f>IFERROR(IF(ENTRI!B29=$AZ$9,$BA$9,IF(ENTRI!B29=$AZ$10,$BA$10,IF(ENTRI!B29=$AZ$11,$BA$11,IF(ENTRI!B29=$AZ$12,$BA$12,IF(ENTRI!B29=$AZ$13,$BA$13,IF(ENTRI!B29=$AZ$14,$BA$14,IF(ENTRI!B29=$AZ$15,$BA$15,IF(ENTRI!B29=$AZ$16,$BA$16,IF(ENTRI!B29=$AZ$17,$BA$17,IF(ENTRI!B29=$AZ$18,$BA$18," "))))))))))," ")</f>
        <v xml:space="preserve">MTs Qomarul Hidayah</v>
      </c>
      <c r="E29" s="219" t="str">
        <f>IFERROR((ENTRI!C29)," ")</f>
        <v>04</v>
      </c>
      <c r="F29" s="219">
        <f t="shared" si="43"/>
        <v>8</v>
      </c>
      <c r="G29" s="219" t="str">
        <f>IFERROR((ENTRI!E29)," ")</f>
        <v>Guru</v>
      </c>
      <c r="H29" s="219" t="str">
        <f>IFERROR((ENTRI!F29)," ")</f>
        <v>01</v>
      </c>
      <c r="I29" s="219" t="str">
        <f>IFERROR((ENTRI!G29)," ")</f>
        <v xml:space="preserve">SITI MUSAROPAH, S.Ag</v>
      </c>
      <c r="J29" s="219" t="str">
        <f>IFERROR((ENTRI!H29)," ")</f>
        <v xml:space="preserve">19700709  199307 04 01 62</v>
      </c>
      <c r="K29" s="219" t="str">
        <f>IFERROR((ENTRI!I29)," ")</f>
        <v>Trenggalek</v>
      </c>
      <c r="L29" s="219" t="str">
        <f>IFERROR((ENTRI!J29)," ")</f>
        <v>09</v>
      </c>
      <c r="M29" s="219" t="str">
        <f>IFERROR((ENTRI!K29)," ")</f>
        <v>07</v>
      </c>
      <c r="N29" s="219">
        <f>IFERROR((ENTRI!L29)," ")</f>
        <v>1970</v>
      </c>
      <c r="O29" s="219" t="str">
        <f t="shared" si="44"/>
        <v xml:space="preserve">Trenggalek, 09-07-1970</v>
      </c>
      <c r="P29" s="219">
        <f>IFERROR((ENTRI!N29)," ")</f>
        <v>16</v>
      </c>
      <c r="Q29" s="219" t="str">
        <f>IFERROR((ENTRI!O29)," ")</f>
        <v>07</v>
      </c>
      <c r="R29" s="219">
        <f>IFERROR((ENTRI!P29)," ")</f>
        <v>1993</v>
      </c>
      <c r="S29" s="219" t="str">
        <f t="shared" si="45"/>
        <v>16-07-1993</v>
      </c>
      <c r="T29" s="219">
        <f>IFERROR((ENTRI!Q29)," ")</f>
        <v>16</v>
      </c>
      <c r="U29" s="219" t="str">
        <f>IFERROR((ENTRI!R29)," ")</f>
        <v>07</v>
      </c>
      <c r="V29" s="219">
        <f>IFERROR((ENTRI!S29)," ")</f>
        <v>1993</v>
      </c>
      <c r="W29" s="219" t="str">
        <f t="shared" si="46"/>
        <v>16-07-1993</v>
      </c>
      <c r="X29" s="219">
        <f>IFERROR((ENTRI!T29)," ")</f>
        <v>32</v>
      </c>
      <c r="Y29" s="219">
        <f>IFERROR((ENTRI!U29)," ")</f>
        <v>32</v>
      </c>
      <c r="Z29" s="219">
        <f>IFERROR((ENTRI!V29)," ")</f>
        <v>32</v>
      </c>
      <c r="AA29" s="219">
        <f>IFERROR((ENTRI!W29)," ")</f>
        <v>32</v>
      </c>
      <c r="AB29" s="219" t="str">
        <f>IFERROR((ENTRI!X29)," ")</f>
        <v>S1</v>
      </c>
      <c r="AC29" s="219" t="str">
        <f>IFERROR((ENTRI!Y29)," ")</f>
        <v xml:space="preserve">Pendidikan Agama Islam</v>
      </c>
      <c r="AD29" s="219">
        <f>IFERROR((ENTRI!Z29)," ")</f>
        <v>1993</v>
      </c>
      <c r="AE29" s="219" t="str">
        <f>IFERROR((ENTRI!AA29)," ")</f>
        <v>SUDAH</v>
      </c>
      <c r="AF29" s="219">
        <f>IFERROR((ENTRI!AB29)," ")</f>
        <v>0</v>
      </c>
      <c r="AG29" s="219" t="str">
        <f>IFERROR((ENTRI!AC29)," ")</f>
        <v xml:space="preserve"> </v>
      </c>
      <c r="AH29" s="219">
        <f>IFERROR((ENTRI!AD29)," ")</f>
        <v>0</v>
      </c>
      <c r="AI29" s="219" t="str">
        <f>IFERROR((ENTRI!AE29)," ")</f>
        <v>Aqidah</v>
      </c>
      <c r="AJ29" s="219">
        <f>IFERROR((ENTRI!AF29)," ")</f>
        <v>0</v>
      </c>
      <c r="AK29" s="219" t="str">
        <f>IFERROR((ENTRI!AG29)," ")</f>
        <v xml:space="preserve">Waka Humas</v>
      </c>
      <c r="AL29" s="219">
        <f>IFERROR((ENTRI!AH29)," ")</f>
        <v>12</v>
      </c>
      <c r="AM29" s="219">
        <f>IFERROR((ENTRI!AI29)," ")</f>
        <v>12</v>
      </c>
      <c r="AN29" s="219" t="str">
        <f>IFERROR((ENTRI!AJ29)," ")</f>
        <v>SUDAH</v>
      </c>
      <c r="AO29" s="219">
        <f>IFERROR((ENTRI!AK29)," ")</f>
        <v>2009</v>
      </c>
      <c r="AP29" s="219" t="str">
        <f>IFERROR((ENTRI!AL29)," ")</f>
        <v>091688417014</v>
      </c>
      <c r="AQ29" s="219" t="str">
        <f>IFERROR((ENTRI!AM29)," ")</f>
        <v>8041748650300023</v>
      </c>
      <c r="AR29" s="216" t="str">
        <f>E29&amp;"."&amp;H29&amp;"."&amp;AW29&amp;"."&amp;ENTRI!$E$4</f>
        <v>04.01.022.2025</v>
      </c>
      <c r="AS29" t="str">
        <f>"YPP.QH/KP.01."&amp;E29&amp;"/"&amp;AW29&amp;"/"&amp;ENTRI!$E$4</f>
        <v>YPP.QH/KP.01.04/022/2025</v>
      </c>
      <c r="AW29" s="277" t="s">
        <v>917</v>
      </c>
    </row>
    <row r="30">
      <c r="A30">
        <f t="shared" si="36"/>
        <v>10</v>
      </c>
      <c r="B30" s="276">
        <f t="shared" si="42"/>
        <v>1987</v>
      </c>
      <c r="C30" s="277">
        <v>23</v>
      </c>
      <c r="D30" s="219" t="str">
        <f>IFERROR(IF(ENTRI!B30=$AZ$9,$BA$9,IF(ENTRI!B30=$AZ$10,$BA$10,IF(ENTRI!B30=$AZ$11,$BA$11,IF(ENTRI!B30=$AZ$12,$BA$12,IF(ENTRI!B30=$AZ$13,$BA$13,IF(ENTRI!B30=$AZ$14,$BA$14,IF(ENTRI!B30=$AZ$15,$BA$15,IF(ENTRI!B30=$AZ$16,$BA$16,IF(ENTRI!B30=$AZ$17,$BA$17,IF(ENTRI!B30=$AZ$18,$BA$18," "))))))))))," ")</f>
        <v xml:space="preserve">MTs Qomarul Hidayah</v>
      </c>
      <c r="E30" s="219" t="str">
        <f>IFERROR((ENTRI!C30)," ")</f>
        <v>04</v>
      </c>
      <c r="F30" s="219">
        <f t="shared" si="43"/>
        <v>10</v>
      </c>
      <c r="G30" s="219" t="str">
        <f>IFERROR((ENTRI!E30)," ")</f>
        <v>Guru</v>
      </c>
      <c r="H30" s="219" t="str">
        <f>IFERROR((ENTRI!F30)," ")</f>
        <v>01</v>
      </c>
      <c r="I30" s="219" t="str">
        <f>IFERROR((ENTRI!G30)," ")</f>
        <v xml:space="preserve">SUDARTI, S.Ag</v>
      </c>
      <c r="J30" s="219" t="str">
        <f>IFERROR((ENTRI!H30)," ")</f>
        <v xml:space="preserve">19651119  199407 04 01 65</v>
      </c>
      <c r="K30" s="219" t="str">
        <f>IFERROR((ENTRI!I30)," ")</f>
        <v>Trenggalek</v>
      </c>
      <c r="L30" s="219">
        <f>IFERROR((ENTRI!J30)," ")</f>
        <v>19</v>
      </c>
      <c r="M30" s="219">
        <f>IFERROR((ENTRI!K30)," ")</f>
        <v>11</v>
      </c>
      <c r="N30" s="219">
        <f>IFERROR((ENTRI!L30)," ")</f>
        <v>1965</v>
      </c>
      <c r="O30" s="219" t="str">
        <f t="shared" si="44"/>
        <v xml:space="preserve">Trenggalek, 19-11-1965</v>
      </c>
      <c r="P30" s="219">
        <f>IFERROR((ENTRI!N30)," ")</f>
        <v>18</v>
      </c>
      <c r="Q30" s="219" t="str">
        <f>IFERROR((ENTRI!O30)," ")</f>
        <v>07</v>
      </c>
      <c r="R30" s="219">
        <f>IFERROR((ENTRI!P30)," ")</f>
        <v>1994</v>
      </c>
      <c r="S30" s="219" t="str">
        <f t="shared" si="45"/>
        <v>18-07-1994</v>
      </c>
      <c r="T30" s="219">
        <f>IFERROR((ENTRI!Q30)," ")</f>
        <v>18</v>
      </c>
      <c r="U30" s="219" t="str">
        <f>IFERROR((ENTRI!R30)," ")</f>
        <v>07</v>
      </c>
      <c r="V30" s="219">
        <f>IFERROR((ENTRI!S30)," ")</f>
        <v>1994</v>
      </c>
      <c r="W30" s="219" t="str">
        <f t="shared" si="46"/>
        <v>18-07-1994</v>
      </c>
      <c r="X30" s="219">
        <f>IFERROR((ENTRI!T30)," ")</f>
        <v>31</v>
      </c>
      <c r="Y30" s="219">
        <f>IFERROR((ENTRI!U30)," ")</f>
        <v>31</v>
      </c>
      <c r="Z30" s="219">
        <f>IFERROR((ENTRI!V30)," ")</f>
        <v>31</v>
      </c>
      <c r="AA30" s="219">
        <f>IFERROR((ENTRI!W30)," ")</f>
        <v>31</v>
      </c>
      <c r="AB30" s="219" t="str">
        <f>IFERROR((ENTRI!X30)," ")</f>
        <v>S1</v>
      </c>
      <c r="AC30" s="219" t="str">
        <f>IFERROR((ENTRI!Y30)," ")</f>
        <v xml:space="preserve">Pendidikan Agama Islam</v>
      </c>
      <c r="AD30" s="219">
        <f>IFERROR((ENTRI!Z30)," ")</f>
        <v>1992</v>
      </c>
      <c r="AE30" s="219" t="str">
        <f>IFERROR((ENTRI!AA30)," ")</f>
        <v>SUDAH</v>
      </c>
      <c r="AF30" s="219">
        <f>IFERROR((ENTRI!AB30)," ")</f>
        <v>0</v>
      </c>
      <c r="AG30" s="219" t="str">
        <f>IFERROR((ENTRI!AC30)," ")</f>
        <v xml:space="preserve"> </v>
      </c>
      <c r="AH30" s="219">
        <f>IFERROR((ENTRI!AD30)," ")</f>
        <v>0</v>
      </c>
      <c r="AI30" s="219" t="str">
        <f>IFERROR((ENTRI!AE30)," ")</f>
        <v xml:space="preserve">SKI, Qur'an Hadist</v>
      </c>
      <c r="AJ30" s="219">
        <f>IFERROR((ENTRI!AF30)," ")</f>
        <v>0</v>
      </c>
      <c r="AK30" s="219" t="str">
        <f>IFERROR((ENTRI!AG30)," ")</f>
        <v>-</v>
      </c>
      <c r="AL30" s="219" t="str">
        <f>IFERROR((ENTRI!AH30)," ")</f>
        <v>-</v>
      </c>
      <c r="AM30" s="219" t="str">
        <f>IFERROR((ENTRI!AI30)," ")</f>
        <v xml:space="preserve"> </v>
      </c>
      <c r="AN30" s="219" t="str">
        <f>IFERROR((ENTRI!AJ30)," ")</f>
        <v>SUDAH</v>
      </c>
      <c r="AO30" s="219">
        <f>IFERROR((ENTRI!AK30)," ")</f>
        <v>2009</v>
      </c>
      <c r="AP30" s="219" t="str">
        <f>IFERROR((ENTRI!AL30)," ")</f>
        <v>092190392017</v>
      </c>
      <c r="AQ30" s="219" t="str">
        <f>IFERROR((ENTRI!AM30)," ")</f>
        <v>5451743647380003</v>
      </c>
      <c r="AR30" s="216" t="str">
        <f>E30&amp;"."&amp;H30&amp;"."&amp;AW30&amp;"."&amp;ENTRI!$E$4</f>
        <v>04.01.023.2025</v>
      </c>
      <c r="AS30" t="str">
        <f>"YPP.QH/KP.01."&amp;E30&amp;"/"&amp;AW30&amp;"/"&amp;ENTRI!$E$4</f>
        <v>YPP.QH/KP.01.04/023/2025</v>
      </c>
      <c r="AW30" s="277" t="s">
        <v>918</v>
      </c>
    </row>
    <row r="31">
      <c r="A31">
        <f t="shared" si="36"/>
        <v>15</v>
      </c>
      <c r="B31" s="276">
        <f t="shared" si="42"/>
        <v>1989</v>
      </c>
      <c r="C31" s="277">
        <v>24</v>
      </c>
      <c r="D31" s="219" t="str">
        <f>IFERROR(IF(ENTRI!B31=$AZ$9,$BA$9,IF(ENTRI!B31=$AZ$10,$BA$10,IF(ENTRI!B31=$AZ$11,$BA$11,IF(ENTRI!B31=$AZ$12,$BA$12,IF(ENTRI!B31=$AZ$13,$BA$13,IF(ENTRI!B31=$AZ$14,$BA$14,IF(ENTRI!B31=$AZ$15,$BA$15,IF(ENTRI!B31=$AZ$16,$BA$16,IF(ENTRI!B31=$AZ$17,$BA$17,IF(ENTRI!B31=$AZ$18,$BA$18," "))))))))))," ")</f>
        <v xml:space="preserve">MTs Qomarul Hidayah</v>
      </c>
      <c r="E31" s="219" t="str">
        <f>IFERROR((ENTRI!C31)," ")</f>
        <v>04</v>
      </c>
      <c r="F31" s="219">
        <f t="shared" si="43"/>
        <v>15</v>
      </c>
      <c r="G31" s="219" t="str">
        <f>IFERROR((ENTRI!E31)," ")</f>
        <v>Guru</v>
      </c>
      <c r="H31" s="219" t="str">
        <f>IFERROR((ENTRI!F31)," ")</f>
        <v>01</v>
      </c>
      <c r="I31" s="219" t="str">
        <f>IFERROR((ENTRI!G31)," ")</f>
        <v xml:space="preserve">ANIF KUSNAWATI, S.Ag</v>
      </c>
      <c r="J31" s="219" t="str">
        <f>IFERROR((ENTRI!H31)," ")</f>
        <v xml:space="preserve">19750630  199607 04 01 70</v>
      </c>
      <c r="K31" s="219" t="str">
        <f>IFERROR((ENTRI!I31)," ")</f>
        <v>Trenggalek</v>
      </c>
      <c r="L31" s="219">
        <f>IFERROR((ENTRI!J31)," ")</f>
        <v>30</v>
      </c>
      <c r="M31" s="219" t="str">
        <f>IFERROR((ENTRI!K31)," ")</f>
        <v>06</v>
      </c>
      <c r="N31" s="219">
        <f>IFERROR((ENTRI!L31)," ")</f>
        <v>1975</v>
      </c>
      <c r="O31" s="219" t="str">
        <f t="shared" si="44"/>
        <v xml:space="preserve">Trenggalek, 30-06-1975</v>
      </c>
      <c r="P31" s="219">
        <f>IFERROR((ENTRI!N31)," ")</f>
        <v>17</v>
      </c>
      <c r="Q31" s="219" t="str">
        <f>IFERROR((ENTRI!O31)," ")</f>
        <v>07</v>
      </c>
      <c r="R31" s="219">
        <f>IFERROR((ENTRI!P31)," ")</f>
        <v>1996</v>
      </c>
      <c r="S31" s="219" t="str">
        <f t="shared" si="45"/>
        <v>17-07-1996</v>
      </c>
      <c r="T31" s="219">
        <f>IFERROR((ENTRI!Q31)," ")</f>
        <v>17</v>
      </c>
      <c r="U31" s="219" t="str">
        <f>IFERROR((ENTRI!R31)," ")</f>
        <v>07</v>
      </c>
      <c r="V31" s="219">
        <f>IFERROR((ENTRI!S31)," ")</f>
        <v>1996</v>
      </c>
      <c r="W31" s="219" t="str">
        <f t="shared" si="46"/>
        <v>17-07-1996</v>
      </c>
      <c r="X31" s="219">
        <f>IFERROR((ENTRI!T31)," ")</f>
        <v>29</v>
      </c>
      <c r="Y31" s="219">
        <f>IFERROR((ENTRI!U31)," ")</f>
        <v>29</v>
      </c>
      <c r="Z31" s="219">
        <f>IFERROR((ENTRI!V31)," ")</f>
        <v>29</v>
      </c>
      <c r="AA31" s="219">
        <f>IFERROR((ENTRI!W31)," ")</f>
        <v>29</v>
      </c>
      <c r="AB31" s="219" t="str">
        <f>IFERROR((ENTRI!X31)," ")</f>
        <v>S1</v>
      </c>
      <c r="AC31" s="219" t="str">
        <f>IFERROR((ENTRI!Y31)," ")</f>
        <v xml:space="preserve">Pendidikan Agama Islam</v>
      </c>
      <c r="AD31" s="219">
        <f>IFERROR((ENTRI!Z31)," ")</f>
        <v>1997</v>
      </c>
      <c r="AE31" s="219" t="str">
        <f>IFERROR((ENTRI!AA31)," ")</f>
        <v>SUDAH</v>
      </c>
      <c r="AF31" s="219">
        <f>IFERROR((ENTRI!AB31)," ")</f>
        <v>0</v>
      </c>
      <c r="AG31" s="219" t="str">
        <f>IFERROR((ENTRI!AC31)," ")</f>
        <v xml:space="preserve"> </v>
      </c>
      <c r="AH31" s="219">
        <f>IFERROR((ENTRI!AD31)," ")</f>
        <v>0</v>
      </c>
      <c r="AI31" s="219" t="str">
        <f>IFERROR((ENTRI!AE31)," ")</f>
        <v>IPS</v>
      </c>
      <c r="AJ31" s="219">
        <f>IFERROR((ENTRI!AF31)," ")</f>
        <v>0</v>
      </c>
      <c r="AK31" s="219" t="str">
        <f>IFERROR((ENTRI!AG31)," ")</f>
        <v>-</v>
      </c>
      <c r="AL31" s="219" t="str">
        <f>IFERROR((ENTRI!AH31)," ")</f>
        <v>-</v>
      </c>
      <c r="AM31" s="219" t="str">
        <f>IFERROR((ENTRI!AI31)," ")</f>
        <v xml:space="preserve"> </v>
      </c>
      <c r="AN31" s="219" t="str">
        <f>IFERROR((ENTRI!AJ31)," ")</f>
        <v>SUDAH</v>
      </c>
      <c r="AO31" s="219">
        <f>IFERROR((ENTRI!AK31)," ")</f>
        <v>2009</v>
      </c>
      <c r="AP31" s="219" t="str">
        <f>IFERROR((ENTRI!AL31)," ")</f>
        <v>092737942012</v>
      </c>
      <c r="AQ31" s="219" t="str">
        <f>IFERROR((ENTRI!AM31)," ")</f>
        <v>6962753654300002</v>
      </c>
      <c r="AR31" s="216" t="str">
        <f>E31&amp;"."&amp;H31&amp;"."&amp;AW31&amp;"."&amp;ENTRI!$E$4</f>
        <v>04.01.024.2025</v>
      </c>
      <c r="AS31" t="str">
        <f>"YPP.QH/KP.01."&amp;E31&amp;"/"&amp;AW31&amp;"/"&amp;ENTRI!$E$4</f>
        <v>YPP.QH/KP.01.04/024/2025</v>
      </c>
      <c r="AW31" s="277" t="s">
        <v>919</v>
      </c>
    </row>
    <row r="32">
      <c r="A32">
        <f t="shared" si="36"/>
        <v>15</v>
      </c>
      <c r="B32" s="276">
        <f t="shared" si="42"/>
        <v>1989</v>
      </c>
      <c r="C32" s="277">
        <v>25</v>
      </c>
      <c r="D32" s="219" t="str">
        <f>IFERROR(IF(ENTRI!B32=$AZ$9,$BA$9,IF(ENTRI!B32=$AZ$10,$BA$10,IF(ENTRI!B32=$AZ$11,$BA$11,IF(ENTRI!B32=$AZ$12,$BA$12,IF(ENTRI!B32=$AZ$13,$BA$13,IF(ENTRI!B32=$AZ$14,$BA$14,IF(ENTRI!B32=$AZ$15,$BA$15,IF(ENTRI!B32=$AZ$16,$BA$16,IF(ENTRI!B32=$AZ$17,$BA$17,IF(ENTRI!B32=$AZ$18,$BA$18," "))))))))))," ")</f>
        <v xml:space="preserve">MTs Qomarul Hidayah</v>
      </c>
      <c r="E32" s="219" t="str">
        <f>IFERROR((ENTRI!C32)," ")</f>
        <v>04</v>
      </c>
      <c r="F32" s="219">
        <f t="shared" si="43"/>
        <v>15</v>
      </c>
      <c r="G32" s="219" t="str">
        <f>IFERROR((ENTRI!E32)," ")</f>
        <v>Guru</v>
      </c>
      <c r="H32" s="219" t="str">
        <f>IFERROR((ENTRI!F32)," ")</f>
        <v>01</v>
      </c>
      <c r="I32" s="219" t="str">
        <f>IFERROR((ENTRI!G32)," ")</f>
        <v xml:space="preserve">IMAM MAKRUS, S.Ag</v>
      </c>
      <c r="J32" s="219" t="str">
        <f>IFERROR((ENTRI!H32)," ")</f>
        <v xml:space="preserve">19720515  199607 04 01 70</v>
      </c>
      <c r="K32" s="219" t="str">
        <f>IFERROR((ENTRI!I32)," ")</f>
        <v>Trenggalek</v>
      </c>
      <c r="L32" s="219">
        <f>IFERROR((ENTRI!J32)," ")</f>
        <v>15</v>
      </c>
      <c r="M32" s="219" t="str">
        <f>IFERROR((ENTRI!K32)," ")</f>
        <v>05</v>
      </c>
      <c r="N32" s="219">
        <f>IFERROR((ENTRI!L32)," ")</f>
        <v>1972</v>
      </c>
      <c r="O32" s="219" t="str">
        <f t="shared" si="44"/>
        <v xml:space="preserve">Trenggalek, 15-05-1972</v>
      </c>
      <c r="P32" s="219">
        <f>IFERROR((ENTRI!N32)," ")</f>
        <v>17</v>
      </c>
      <c r="Q32" s="219" t="str">
        <f>IFERROR((ENTRI!O32)," ")</f>
        <v>07</v>
      </c>
      <c r="R32" s="219">
        <f>IFERROR((ENTRI!P32)," ")</f>
        <v>1996</v>
      </c>
      <c r="S32" s="219" t="str">
        <f t="shared" si="45"/>
        <v>17-07-1996</v>
      </c>
      <c r="T32" s="219">
        <f>IFERROR((ENTRI!Q32)," ")</f>
        <v>17</v>
      </c>
      <c r="U32" s="219" t="str">
        <f>IFERROR((ENTRI!R32)," ")</f>
        <v>07</v>
      </c>
      <c r="V32" s="219">
        <f>IFERROR((ENTRI!S32)," ")</f>
        <v>1996</v>
      </c>
      <c r="W32" s="219" t="str">
        <f t="shared" si="46"/>
        <v>17-07-1996</v>
      </c>
      <c r="X32" s="219">
        <f>IFERROR((ENTRI!T32)," ")</f>
        <v>29</v>
      </c>
      <c r="Y32" s="219">
        <f>IFERROR((ENTRI!U32)," ")</f>
        <v>29</v>
      </c>
      <c r="Z32" s="219">
        <f>IFERROR((ENTRI!V32)," ")</f>
        <v>29</v>
      </c>
      <c r="AA32" s="219">
        <f>IFERROR((ENTRI!W32)," ")</f>
        <v>29</v>
      </c>
      <c r="AB32" s="219" t="str">
        <f>IFERROR((ENTRI!X32)," ")</f>
        <v>S1</v>
      </c>
      <c r="AC32" s="219" t="str">
        <f>IFERROR((ENTRI!Y32)," ")</f>
        <v xml:space="preserve">Pendidikan Agama Islam</v>
      </c>
      <c r="AD32" s="219">
        <f>IFERROR((ENTRI!Z32)," ")</f>
        <v>2000</v>
      </c>
      <c r="AE32" s="219" t="str">
        <f>IFERROR((ENTRI!AA32)," ")</f>
        <v>SUDAH</v>
      </c>
      <c r="AF32" s="219">
        <f>IFERROR((ENTRI!AB32)," ")</f>
        <v>0</v>
      </c>
      <c r="AG32" s="219" t="str">
        <f>IFERROR((ENTRI!AC32)," ")</f>
        <v xml:space="preserve"> </v>
      </c>
      <c r="AH32" s="219">
        <f>IFERROR((ENTRI!AD32)," ")</f>
        <v>0</v>
      </c>
      <c r="AI32" s="219" t="str">
        <f>IFERROR((ENTRI!AE32)," ")</f>
        <v xml:space="preserve">Aqidah, Qur'an Hadist</v>
      </c>
      <c r="AJ32" s="219">
        <f>IFERROR((ENTRI!AF32)," ")</f>
        <v>0</v>
      </c>
      <c r="AK32" s="219" t="str">
        <f>IFERROR((ENTRI!AG32)," ")</f>
        <v>-</v>
      </c>
      <c r="AL32" s="219" t="str">
        <f>IFERROR((ENTRI!AH32)," ")</f>
        <v>-</v>
      </c>
      <c r="AM32" s="219" t="str">
        <f>IFERROR((ENTRI!AI32)," ")</f>
        <v xml:space="preserve"> </v>
      </c>
      <c r="AN32" s="219" t="str">
        <f>IFERROR((ENTRI!AJ32)," ")</f>
        <v>SUDAH</v>
      </c>
      <c r="AO32" s="219">
        <f>IFERROR((ENTRI!AK32)," ")</f>
        <v>2009</v>
      </c>
      <c r="AP32" s="219" t="str">
        <f>IFERROR((ENTRI!AL32)," ")</f>
        <v>101486432014</v>
      </c>
      <c r="AQ32" s="219" t="str">
        <f>IFERROR((ENTRI!AM32)," ")</f>
        <v>9847750652200012</v>
      </c>
      <c r="AR32" s="216" t="str">
        <f>E32&amp;"."&amp;H32&amp;"."&amp;AW32&amp;"."&amp;ENTRI!$E$4</f>
        <v>04.01.025.2025</v>
      </c>
      <c r="AS32" t="str">
        <f>"YPP.QH/KP.01."&amp;E32&amp;"/"&amp;AW32&amp;"/"&amp;ENTRI!$E$4</f>
        <v>YPP.QH/KP.01.04/025/2025</v>
      </c>
      <c r="AW32" s="277" t="s">
        <v>920</v>
      </c>
    </row>
    <row r="33">
      <c r="A33">
        <f t="shared" si="36"/>
        <v>18</v>
      </c>
      <c r="B33" s="276">
        <f t="shared" si="42"/>
        <v>1992</v>
      </c>
      <c r="C33" s="277">
        <v>26</v>
      </c>
      <c r="D33" s="219" t="str">
        <f>IFERROR(IF(ENTRI!B33=$AZ$9,$BA$9,IF(ENTRI!B33=$AZ$10,$BA$10,IF(ENTRI!B33=$AZ$11,$BA$11,IF(ENTRI!B33=$AZ$12,$BA$12,IF(ENTRI!B33=$AZ$13,$BA$13,IF(ENTRI!B33=$AZ$14,$BA$14,IF(ENTRI!B33=$AZ$15,$BA$15,IF(ENTRI!B33=$AZ$16,$BA$16,IF(ENTRI!B33=$AZ$17,$BA$17,IF(ENTRI!B33=$AZ$18,$BA$18," "))))))))))," ")</f>
        <v xml:space="preserve">MTs Qomarul Hidayah</v>
      </c>
      <c r="E33" s="219" t="str">
        <f>IFERROR((ENTRI!C33)," ")</f>
        <v>04</v>
      </c>
      <c r="F33" s="219">
        <f t="shared" si="43"/>
        <v>18</v>
      </c>
      <c r="G33" s="219" t="str">
        <f>IFERROR((ENTRI!E33)," ")</f>
        <v>Guru</v>
      </c>
      <c r="H33" s="219" t="str">
        <f>IFERROR((ENTRI!F33)," ")</f>
        <v>01</v>
      </c>
      <c r="I33" s="219" t="str">
        <f>IFERROR((ENTRI!G33)," ")</f>
        <v xml:space="preserve">BAHRUN ROFIQI, S.Ag</v>
      </c>
      <c r="J33" s="219" t="str">
        <f>IFERROR((ENTRI!H33)," ")</f>
        <v xml:space="preserve">19730626  199907 04 01 73</v>
      </c>
      <c r="K33" s="219" t="str">
        <f>IFERROR((ENTRI!I33)," ")</f>
        <v>Trenggalek</v>
      </c>
      <c r="L33" s="219">
        <f>IFERROR((ENTRI!J33)," ")</f>
        <v>26</v>
      </c>
      <c r="M33" s="219" t="str">
        <f>IFERROR((ENTRI!K33)," ")</f>
        <v>06</v>
      </c>
      <c r="N33" s="219">
        <f>IFERROR((ENTRI!L33)," ")</f>
        <v>1973</v>
      </c>
      <c r="O33" s="219" t="str">
        <f t="shared" si="44"/>
        <v xml:space="preserve">Trenggalek, 26-06-1973</v>
      </c>
      <c r="P33" s="219">
        <f>IFERROR((ENTRI!N33)," ")</f>
        <v>18</v>
      </c>
      <c r="Q33" s="219" t="str">
        <f>IFERROR((ENTRI!O33)," ")</f>
        <v>07</v>
      </c>
      <c r="R33" s="219">
        <f>IFERROR((ENTRI!P33)," ")</f>
        <v>1999</v>
      </c>
      <c r="S33" s="219" t="str">
        <f t="shared" si="45"/>
        <v>18-07-1999</v>
      </c>
      <c r="T33" s="219">
        <f>IFERROR((ENTRI!Q33)," ")</f>
        <v>18</v>
      </c>
      <c r="U33" s="219" t="str">
        <f>IFERROR((ENTRI!R33)," ")</f>
        <v>07</v>
      </c>
      <c r="V33" s="219">
        <f>IFERROR((ENTRI!S33)," ")</f>
        <v>1999</v>
      </c>
      <c r="W33" s="219" t="str">
        <f t="shared" si="46"/>
        <v>18-07-1999</v>
      </c>
      <c r="X33" s="219">
        <f>IFERROR((ENTRI!T33)," ")</f>
        <v>26</v>
      </c>
      <c r="Y33" s="219">
        <f>IFERROR((ENTRI!U33)," ")</f>
        <v>26</v>
      </c>
      <c r="Z33" s="219">
        <f>IFERROR((ENTRI!V33)," ")</f>
        <v>26</v>
      </c>
      <c r="AA33" s="219">
        <f>IFERROR((ENTRI!W33)," ")</f>
        <v>26</v>
      </c>
      <c r="AB33" s="219" t="str">
        <f>IFERROR((ENTRI!X33)," ")</f>
        <v>S1</v>
      </c>
      <c r="AC33" s="219" t="str">
        <f>IFERROR((ENTRI!Y33)," ")</f>
        <v xml:space="preserve">Pendidikan Agama Islam</v>
      </c>
      <c r="AD33" s="219">
        <f>IFERROR((ENTRI!Z33)," ")</f>
        <v>1998</v>
      </c>
      <c r="AE33" s="219">
        <f>IFERROR((ENTRI!AA33)," ")</f>
        <v>0</v>
      </c>
      <c r="AF33" s="219">
        <f>IFERROR((ENTRI!AB33)," ")</f>
        <v>0</v>
      </c>
      <c r="AG33" s="219" t="str">
        <f>IFERROR((ENTRI!AC33)," ")</f>
        <v xml:space="preserve"> </v>
      </c>
      <c r="AH33" s="219">
        <f>IFERROR((ENTRI!AD33)," ")</f>
        <v>0</v>
      </c>
      <c r="AI33" s="219" t="str">
        <f>IFERROR((ENTRI!AE33)," ")</f>
        <v xml:space="preserve">Fiqih, Qur'an Hadist</v>
      </c>
      <c r="AJ33" s="219">
        <f>IFERROR((ENTRI!AF33)," ")</f>
        <v>0</v>
      </c>
      <c r="AK33" s="219" t="str">
        <f>IFERROR((ENTRI!AG33)," ")</f>
        <v>-</v>
      </c>
      <c r="AL33" s="219" t="str">
        <f>IFERROR((ENTRI!AH33)," ")</f>
        <v>-</v>
      </c>
      <c r="AM33" s="219" t="str">
        <f>IFERROR((ENTRI!AI33)," ")</f>
        <v xml:space="preserve"> </v>
      </c>
      <c r="AN33" s="219" t="str">
        <f>IFERROR((ENTRI!AJ33)," ")</f>
        <v>SUDAH</v>
      </c>
      <c r="AO33" s="219">
        <f>IFERROR((ENTRI!AK33)," ")</f>
        <v>2011</v>
      </c>
      <c r="AP33" s="219" t="str">
        <f>IFERROR((ENTRI!AL33)," ")</f>
        <v>112372126016</v>
      </c>
      <c r="AQ33" s="219" t="str">
        <f>IFERROR((ENTRI!AM33)," ")</f>
        <v>0958751653200012</v>
      </c>
      <c r="AR33" s="216" t="str">
        <f>E33&amp;"."&amp;H33&amp;"."&amp;AW33&amp;"."&amp;ENTRI!$E$4</f>
        <v>04.01.026.2025</v>
      </c>
      <c r="AS33" t="str">
        <f>"YPP.QH/KP.01."&amp;E33&amp;"/"&amp;AW33&amp;"/"&amp;ENTRI!$E$4</f>
        <v>YPP.QH/KP.01.04/026/2025</v>
      </c>
      <c r="AW33" s="277" t="s">
        <v>921</v>
      </c>
    </row>
    <row r="34">
      <c r="A34">
        <f t="shared" si="36"/>
        <v>114</v>
      </c>
      <c r="B34" s="276">
        <f t="shared" si="42"/>
        <v>2017</v>
      </c>
      <c r="C34" s="277">
        <v>27</v>
      </c>
      <c r="D34" s="219" t="str">
        <f>IFERROR(IF(ENTRI!B34=$AZ$9,$BA$9,IF(ENTRI!B34=$AZ$10,$BA$10,IF(ENTRI!B34=$AZ$11,$BA$11,IF(ENTRI!B34=$AZ$12,$BA$12,IF(ENTRI!B34=$AZ$13,$BA$13,IF(ENTRI!B34=$AZ$14,$BA$14,IF(ENTRI!B34=$AZ$15,$BA$15,IF(ENTRI!B34=$AZ$16,$BA$16,IF(ENTRI!B34=$AZ$17,$BA$17,IF(ENTRI!B34=$AZ$18,$BA$18," "))))))))))," ")</f>
        <v xml:space="preserve">SMK Qomarul Hidayah 2 Tugu</v>
      </c>
      <c r="E34" s="219" t="str">
        <f>IFERROR((ENTRI!C34)," ")</f>
        <v>07</v>
      </c>
      <c r="F34" s="219">
        <f t="shared" si="43"/>
        <v>114</v>
      </c>
      <c r="G34" s="219" t="str">
        <f>IFERROR((ENTRI!E34)," ")</f>
        <v xml:space="preserve">Tenaga Kependidikan</v>
      </c>
      <c r="H34" s="219" t="str">
        <f>IFERROR((ENTRI!F34)," ")</f>
        <v>02</v>
      </c>
      <c r="I34" s="219" t="str">
        <f>IFERROR((ENTRI!G34)," ")</f>
        <v xml:space="preserve">ZAYYINA BINTANG NURDIANA YUSUF</v>
      </c>
      <c r="J34" s="219" t="str">
        <f>IFERROR((ENTRI!H34)," ")</f>
        <v xml:space="preserve">20040301  202407 07 02 15</v>
      </c>
      <c r="K34" s="219" t="str">
        <f>IFERROR((ENTRI!I34)," ")</f>
        <v>Trenggalek</v>
      </c>
      <c r="L34" s="219" t="str">
        <f>IFERROR((ENTRI!J34)," ")</f>
        <v>01</v>
      </c>
      <c r="M34" s="219" t="str">
        <f>IFERROR((ENTRI!K34)," ")</f>
        <v>03</v>
      </c>
      <c r="N34" s="219">
        <f>IFERROR((ENTRI!L34)," ")</f>
        <v>2004</v>
      </c>
      <c r="O34" s="219" t="str">
        <f t="shared" si="44"/>
        <v xml:space="preserve">Trenggalek, 01-03-2004</v>
      </c>
      <c r="P34" s="219" t="str">
        <f>IFERROR((ENTRI!N34)," ")</f>
        <v>15</v>
      </c>
      <c r="Q34" s="219" t="str">
        <f>IFERROR((ENTRI!O34)," ")</f>
        <v>07</v>
      </c>
      <c r="R34" s="219">
        <f>IFERROR((ENTRI!P34)," ")</f>
        <v>2024</v>
      </c>
      <c r="S34" s="219" t="str">
        <f t="shared" si="45"/>
        <v>15-07-2024</v>
      </c>
      <c r="T34" s="219" t="str">
        <f>IFERROR((ENTRI!Q34)," ")</f>
        <v>15</v>
      </c>
      <c r="U34" s="219" t="str">
        <f>IFERROR((ENTRI!R34)," ")</f>
        <v>07</v>
      </c>
      <c r="V34" s="219">
        <f>IFERROR((ENTRI!S34)," ")</f>
        <v>2024</v>
      </c>
      <c r="W34" s="219" t="str">
        <f t="shared" si="46"/>
        <v>15-07-2024</v>
      </c>
      <c r="X34" s="219">
        <f>IFERROR((ENTRI!T34)," ")</f>
        <v>1</v>
      </c>
      <c r="Y34" s="219">
        <f>IFERROR((ENTRI!U34)," ")</f>
        <v>1</v>
      </c>
      <c r="Z34" s="219">
        <f>IFERROR((ENTRI!V34)," ")</f>
        <v>1</v>
      </c>
      <c r="AA34" s="219">
        <f>IFERROR((ENTRI!W34)," ")</f>
        <v>1</v>
      </c>
      <c r="AB34" s="219" t="str">
        <f>IFERROR((ENTRI!X34)," ")</f>
        <v>SLTA</v>
      </c>
      <c r="AC34" s="219" t="str">
        <f>IFERROR((ENTRI!Y34)," ")</f>
        <v>IPS</v>
      </c>
      <c r="AD34" s="219">
        <f>IFERROR((ENTRI!Z34)," ")</f>
        <v>2001</v>
      </c>
      <c r="AE34" s="219" t="str">
        <f>IFERROR((ENTRI!AA34)," ")</f>
        <v>SUDAH</v>
      </c>
      <c r="AF34" s="219">
        <f>IFERROR((ENTRI!AB34)," ")</f>
        <v>0</v>
      </c>
      <c r="AG34" s="219" t="str">
        <f>IFERROR((ENTRI!AC34)," ")</f>
        <v xml:space="preserve"> </v>
      </c>
      <c r="AH34" s="219">
        <f>IFERROR((ENTRI!AD34)," ")</f>
        <v>0</v>
      </c>
      <c r="AI34" s="219" t="str">
        <f>IFERROR((ENTRI!AE34)," ")</f>
        <v xml:space="preserve">Bahasa Arab</v>
      </c>
      <c r="AJ34" s="219">
        <f>IFERROR((ENTRI!AF34)," ")</f>
        <v>0</v>
      </c>
      <c r="AK34" s="219" t="str">
        <f>IFERROR((ENTRI!AG34)," ")</f>
        <v>-</v>
      </c>
      <c r="AL34" s="219" t="str">
        <f>IFERROR((ENTRI!AH34)," ")</f>
        <v>-</v>
      </c>
      <c r="AM34" s="219" t="str">
        <f>IFERROR((ENTRI!AI34)," ")</f>
        <v xml:space="preserve"> </v>
      </c>
      <c r="AN34" s="219" t="str">
        <f>IFERROR((ENTRI!AJ34)," ")</f>
        <v>SUDAH</v>
      </c>
      <c r="AO34" s="219">
        <f>IFERROR((ENTRI!AK34)," ")</f>
        <v>0</v>
      </c>
      <c r="AP34" s="219" t="str">
        <f>IFERROR((ENTRI!AL34)," ")</f>
        <v>122392148017</v>
      </c>
      <c r="AQ34" s="219" t="str">
        <f>IFERROR((ENTRI!AM34)," ")</f>
        <v>7445751654200003</v>
      </c>
      <c r="AR34" s="216" t="str">
        <f>E34&amp;"."&amp;H34&amp;"."&amp;AW34&amp;"."&amp;ENTRI!$E$4</f>
        <v>07.02.027.2025</v>
      </c>
      <c r="AS34" t="str">
        <f>"YPP.QH/KP.01."&amp;E34&amp;"/"&amp;AW34&amp;"/"&amp;ENTRI!$E$4</f>
        <v>YPP.QH/KP.01.07/027/2025</v>
      </c>
      <c r="AW34" s="277" t="s">
        <v>922</v>
      </c>
    </row>
    <row r="35">
      <c r="A35">
        <f t="shared" si="36"/>
        <v>33</v>
      </c>
      <c r="B35" s="276">
        <f t="shared" si="42"/>
        <v>1997</v>
      </c>
      <c r="C35" s="277">
        <v>28</v>
      </c>
      <c r="D35" s="219" t="str">
        <f>IFERROR(IF(ENTRI!B35=$AZ$9,$BA$9,IF(ENTRI!B35=$AZ$10,$BA$10,IF(ENTRI!B35=$AZ$11,$BA$11,IF(ENTRI!B35=$AZ$12,$BA$12,IF(ENTRI!B35=$AZ$13,$BA$13,IF(ENTRI!B35=$AZ$14,$BA$14,IF(ENTRI!B35=$AZ$15,$BA$15,IF(ENTRI!B35=$AZ$16,$BA$16,IF(ENTRI!B35=$AZ$17,$BA$17,IF(ENTRI!B35=$AZ$18,$BA$18," "))))))))))," ")</f>
        <v xml:space="preserve">MTs Qomarul Hidayah</v>
      </c>
      <c r="E35" s="219" t="str">
        <f>IFERROR((ENTRI!C35)," ")</f>
        <v>04</v>
      </c>
      <c r="F35" s="219">
        <f t="shared" si="43"/>
        <v>33</v>
      </c>
      <c r="G35" s="219" t="str">
        <f>IFERROR((ENTRI!E35)," ")</f>
        <v>Guru</v>
      </c>
      <c r="H35" s="219" t="str">
        <f>IFERROR((ENTRI!F35)," ")</f>
        <v>01</v>
      </c>
      <c r="I35" s="219" t="str">
        <f>IFERROR((ENTRI!G35)," ")</f>
        <v xml:space="preserve">DWI PURWATININGSIH, S.Pd</v>
      </c>
      <c r="J35" s="219" t="str">
        <f>IFERROR((ENTRI!H35)," ")</f>
        <v xml:space="preserve">19810709  200407 04 01 29</v>
      </c>
      <c r="K35" s="219" t="str">
        <f>IFERROR((ENTRI!I35)," ")</f>
        <v>Trenggalek</v>
      </c>
      <c r="L35" s="219" t="str">
        <f>IFERROR((ENTRI!J35)," ")</f>
        <v>09</v>
      </c>
      <c r="M35" s="219" t="str">
        <f>IFERROR((ENTRI!K35)," ")</f>
        <v>07</v>
      </c>
      <c r="N35" s="219">
        <f>IFERROR((ENTRI!L35)," ")</f>
        <v>1981</v>
      </c>
      <c r="O35" s="219" t="str">
        <f t="shared" si="44"/>
        <v xml:space="preserve">Trenggalek, 09-07-1981</v>
      </c>
      <c r="P35" s="219">
        <f>IFERROR((ENTRI!N35)," ")</f>
        <v>18</v>
      </c>
      <c r="Q35" s="219" t="str">
        <f>IFERROR((ENTRI!O35)," ")</f>
        <v>07</v>
      </c>
      <c r="R35" s="219">
        <f>IFERROR((ENTRI!P35)," ")</f>
        <v>2004</v>
      </c>
      <c r="S35" s="219" t="str">
        <f t="shared" si="45"/>
        <v>18-07-2004</v>
      </c>
      <c r="T35" s="219">
        <f>IFERROR((ENTRI!Q35)," ")</f>
        <v>18</v>
      </c>
      <c r="U35" s="219" t="str">
        <f>IFERROR((ENTRI!R35)," ")</f>
        <v>07</v>
      </c>
      <c r="V35" s="219">
        <f>IFERROR((ENTRI!S35)," ")</f>
        <v>2004</v>
      </c>
      <c r="W35" s="219" t="str">
        <f t="shared" si="46"/>
        <v>18-07-2004</v>
      </c>
      <c r="X35" s="219">
        <f>IFERROR((ENTRI!T35)," ")</f>
        <v>21</v>
      </c>
      <c r="Y35" s="219">
        <f>IFERROR((ENTRI!U35)," ")</f>
        <v>21</v>
      </c>
      <c r="Z35" s="219">
        <f>IFERROR((ENTRI!V35)," ")</f>
        <v>21</v>
      </c>
      <c r="AA35" s="219">
        <f>IFERROR((ENTRI!W35)," ")</f>
        <v>21</v>
      </c>
      <c r="AB35" s="219" t="str">
        <f>IFERROR((ENTRI!X35)," ")</f>
        <v>S1</v>
      </c>
      <c r="AC35" s="219" t="str">
        <f>IFERROR((ENTRI!Y35)," ")</f>
        <v xml:space="preserve">Pendidikan Matematika</v>
      </c>
      <c r="AD35" s="219">
        <f>IFERROR((ENTRI!Z35)," ")</f>
        <v>2004</v>
      </c>
      <c r="AE35" s="219">
        <f>IFERROR((ENTRI!AA35)," ")</f>
        <v>0</v>
      </c>
      <c r="AF35" s="219">
        <f>IFERROR((ENTRI!AB35)," ")</f>
        <v>0</v>
      </c>
      <c r="AG35" s="219" t="str">
        <f>IFERROR((ENTRI!AC35)," ")</f>
        <v xml:space="preserve"> </v>
      </c>
      <c r="AH35" s="219">
        <f>IFERROR((ENTRI!AD35)," ")</f>
        <v>0</v>
      </c>
      <c r="AI35" s="219" t="str">
        <f>IFERROR((ENTRI!AE35)," ")</f>
        <v>Matematika</v>
      </c>
      <c r="AJ35" s="219">
        <f>IFERROR((ENTRI!AF35)," ")</f>
        <v>0</v>
      </c>
      <c r="AK35" s="219" t="str">
        <f>IFERROR((ENTRI!AG35)," ")</f>
        <v>-</v>
      </c>
      <c r="AL35" s="219" t="str">
        <f>IFERROR((ENTRI!AH35)," ")</f>
        <v>-</v>
      </c>
      <c r="AM35" s="219" t="str">
        <f>IFERROR((ENTRI!AI35)," ")</f>
        <v xml:space="preserve"> </v>
      </c>
      <c r="AN35" s="219" t="str">
        <f>IFERROR((ENTRI!AJ35)," ")</f>
        <v>SUDAH</v>
      </c>
      <c r="AO35" s="219">
        <f>IFERROR((ENTRI!AK35)," ")</f>
        <v>2010</v>
      </c>
      <c r="AP35" s="219" t="str">
        <f>IFERROR((ENTRI!AL35)," ")</f>
        <v>091688472004</v>
      </c>
      <c r="AQ35" s="219" t="str">
        <f>IFERROR((ENTRI!AM35)," ")</f>
        <v>7041759661300013</v>
      </c>
      <c r="AR35" s="216" t="str">
        <f>E35&amp;"."&amp;H35&amp;"."&amp;AW35&amp;"."&amp;ENTRI!$E$4</f>
        <v>04.01.028.2025</v>
      </c>
      <c r="AS35" t="str">
        <f>"YPP.QH/KP.01."&amp;E35&amp;"/"&amp;AW35&amp;"/"&amp;ENTRI!$E$4</f>
        <v>YPP.QH/KP.01.04/028/2025</v>
      </c>
      <c r="AW35" s="277" t="s">
        <v>923</v>
      </c>
    </row>
    <row r="36">
      <c r="A36">
        <f t="shared" si="36"/>
        <v>24</v>
      </c>
      <c r="B36" s="276">
        <f t="shared" si="42"/>
        <v>1995</v>
      </c>
      <c r="C36" s="277">
        <v>29</v>
      </c>
      <c r="D36" s="219" t="str">
        <f>IFERROR(IF(ENTRI!B36=$AZ$9,$BA$9,IF(ENTRI!B36=$AZ$10,$BA$10,IF(ENTRI!B36=$AZ$11,$BA$11,IF(ENTRI!B36=$AZ$12,$BA$12,IF(ENTRI!B36=$AZ$13,$BA$13,IF(ENTRI!B36=$AZ$14,$BA$14,IF(ENTRI!B36=$AZ$15,$BA$15,IF(ENTRI!B36=$AZ$16,$BA$16,IF(ENTRI!B36=$AZ$17,$BA$17,IF(ENTRI!B36=$AZ$18,$BA$18," "))))))))))," ")</f>
        <v xml:space="preserve">MTs Qomarul Hidayah</v>
      </c>
      <c r="E36" s="219" t="str">
        <f>IFERROR((ENTRI!C36)," ")</f>
        <v>04</v>
      </c>
      <c r="F36" s="219">
        <f t="shared" si="43"/>
        <v>24</v>
      </c>
      <c r="G36" s="219" t="str">
        <f>IFERROR((ENTRI!E36)," ")</f>
        <v>Guru</v>
      </c>
      <c r="H36" s="219" t="str">
        <f>IFERROR((ENTRI!F36)," ")</f>
        <v>01</v>
      </c>
      <c r="I36" s="219" t="str">
        <f>IFERROR((ENTRI!G36)," ")</f>
        <v xml:space="preserve">BANGKIT ADI SWASONO, M.Pd</v>
      </c>
      <c r="J36" s="219" t="str">
        <f>IFERROR((ENTRI!H36)," ")</f>
        <v xml:space="preserve">19810520  200207 04 01 80</v>
      </c>
      <c r="K36" s="219" t="str">
        <f>IFERROR((ENTRI!I36)," ")</f>
        <v>Trenggalek</v>
      </c>
      <c r="L36" s="219">
        <f>IFERROR((ENTRI!J36)," ")</f>
        <v>20</v>
      </c>
      <c r="M36" s="219" t="str">
        <f>IFERROR((ENTRI!K36)," ")</f>
        <v>05</v>
      </c>
      <c r="N36" s="219">
        <f>IFERROR((ENTRI!L36)," ")</f>
        <v>1981</v>
      </c>
      <c r="O36" s="219" t="str">
        <f t="shared" si="44"/>
        <v xml:space="preserve">Trenggalek, 20-05-1981</v>
      </c>
      <c r="P36" s="219">
        <f>IFERROR((ENTRI!N36)," ")</f>
        <v>17</v>
      </c>
      <c r="Q36" s="219" t="str">
        <f>IFERROR((ENTRI!O36)," ")</f>
        <v>07</v>
      </c>
      <c r="R36" s="219">
        <f>IFERROR((ENTRI!P36)," ")</f>
        <v>2002</v>
      </c>
      <c r="S36" s="219" t="str">
        <f t="shared" si="45"/>
        <v>17-07-2002</v>
      </c>
      <c r="T36" s="219">
        <f>IFERROR((ENTRI!Q36)," ")</f>
        <v>17</v>
      </c>
      <c r="U36" s="219" t="str">
        <f>IFERROR((ENTRI!R36)," ")</f>
        <v>07</v>
      </c>
      <c r="V36" s="219">
        <f>IFERROR((ENTRI!S36)," ")</f>
        <v>2002</v>
      </c>
      <c r="W36" s="219" t="str">
        <f t="shared" si="46"/>
        <v>17-07-2002</v>
      </c>
      <c r="X36" s="219">
        <f>IFERROR((ENTRI!T36)," ")</f>
        <v>23</v>
      </c>
      <c r="Y36" s="219">
        <f>IFERROR((ENTRI!U36)," ")</f>
        <v>23</v>
      </c>
      <c r="Z36" s="219">
        <f>IFERROR((ENTRI!V36)," ")</f>
        <v>23</v>
      </c>
      <c r="AA36" s="219">
        <f>IFERROR((ENTRI!W36)," ")</f>
        <v>23</v>
      </c>
      <c r="AB36" s="219" t="str">
        <f>IFERROR((ENTRI!X36)," ")</f>
        <v>S2</v>
      </c>
      <c r="AC36" s="219" t="str">
        <f>IFERROR((ENTRI!Y36)," ")</f>
        <v xml:space="preserve">Pendidikan Bahasa Indonesia</v>
      </c>
      <c r="AD36" s="219">
        <f>IFERROR((ENTRI!Z36)," ")</f>
        <v>2007</v>
      </c>
      <c r="AE36" s="219">
        <f>IFERROR((ENTRI!AA36)," ")</f>
        <v>0</v>
      </c>
      <c r="AF36" s="219">
        <f>IFERROR((ENTRI!AB36)," ")</f>
        <v>0</v>
      </c>
      <c r="AG36" s="219" t="str">
        <f>IFERROR((ENTRI!AC36)," ")</f>
        <v xml:space="preserve"> </v>
      </c>
      <c r="AH36" s="219">
        <f>IFERROR((ENTRI!AD36)," ")</f>
        <v>0</v>
      </c>
      <c r="AI36" s="219" t="str">
        <f>IFERROR((ENTRI!AE36)," ")</f>
        <v xml:space="preserve">Bahasa Indonesia</v>
      </c>
      <c r="AJ36" s="219">
        <f>IFERROR((ENTRI!AF36)," ")</f>
        <v>0</v>
      </c>
      <c r="AK36" s="219" t="str">
        <f>IFERROR((ENTRI!AG36)," ")</f>
        <v>-</v>
      </c>
      <c r="AL36" s="219" t="str">
        <f>IFERROR((ENTRI!AH36)," ")</f>
        <v>-</v>
      </c>
      <c r="AM36" s="219" t="str">
        <f>IFERROR((ENTRI!AI36)," ")</f>
        <v xml:space="preserve"> </v>
      </c>
      <c r="AN36" s="219" t="str">
        <f>IFERROR((ENTRI!AJ36)," ")</f>
        <v>SUDAH</v>
      </c>
      <c r="AO36" s="219">
        <f>IFERROR((ENTRI!AK36)," ")</f>
        <v>2009</v>
      </c>
      <c r="AP36" s="219" t="str">
        <f>IFERROR((ENTRI!AL36)," ")</f>
        <v>101488977005</v>
      </c>
      <c r="AQ36" s="219" t="str">
        <f>IFERROR((ENTRI!AM36)," ")</f>
        <v>1852759661200012</v>
      </c>
      <c r="AR36" s="216" t="str">
        <f>E36&amp;"."&amp;H36&amp;"."&amp;AW36&amp;"."&amp;ENTRI!$E$4</f>
        <v>04.01.029.2025</v>
      </c>
      <c r="AS36" t="str">
        <f>"YPP.QH/KP.01."&amp;E36&amp;"/"&amp;AW36&amp;"/"&amp;ENTRI!$E$4</f>
        <v>YPP.QH/KP.01.04/029/2025</v>
      </c>
      <c r="AW36" s="277" t="s">
        <v>924</v>
      </c>
    </row>
    <row r="37">
      <c r="A37">
        <f t="shared" si="36"/>
        <v>27</v>
      </c>
      <c r="B37" s="276">
        <f t="shared" si="42"/>
        <v>1996</v>
      </c>
      <c r="C37" s="277">
        <v>30</v>
      </c>
      <c r="D37" s="219" t="str">
        <f>IFERROR(IF(ENTRI!B37=$AZ$9,$BA$9,IF(ENTRI!B37=$AZ$10,$BA$10,IF(ENTRI!B37=$AZ$11,$BA$11,IF(ENTRI!B37=$AZ$12,$BA$12,IF(ENTRI!B37=$AZ$13,$BA$13,IF(ENTRI!B37=$AZ$14,$BA$14,IF(ENTRI!B37=$AZ$15,$BA$15,IF(ENTRI!B37=$AZ$16,$BA$16,IF(ENTRI!B37=$AZ$17,$BA$17,IF(ENTRI!B37=$AZ$18,$BA$18," "))))))))))," ")</f>
        <v xml:space="preserve">MTs Qomarul Hidayah</v>
      </c>
      <c r="E37" s="219" t="str">
        <f>IFERROR((ENTRI!C37)," ")</f>
        <v>04</v>
      </c>
      <c r="F37" s="219">
        <f t="shared" si="43"/>
        <v>27</v>
      </c>
      <c r="G37" s="219" t="str">
        <f>IFERROR((ENTRI!E37)," ")</f>
        <v>Guru</v>
      </c>
      <c r="H37" s="219" t="str">
        <f>IFERROR((ENTRI!F37)," ")</f>
        <v>01</v>
      </c>
      <c r="I37" s="219" t="str">
        <f>IFERROR((ENTRI!G37)," ")</f>
        <v xml:space="preserve">SITI NUR'ALIYAH, S.Pd.I</v>
      </c>
      <c r="J37" s="219" t="str">
        <f>IFERROR((ENTRI!H37)," ")</f>
        <v xml:space="preserve">19780220  200307 04 01 83</v>
      </c>
      <c r="K37" s="219" t="str">
        <f>IFERROR((ENTRI!I37)," ")</f>
        <v xml:space="preserve">Bandung Baru</v>
      </c>
      <c r="L37" s="219">
        <f>IFERROR((ENTRI!J37)," ")</f>
        <v>20</v>
      </c>
      <c r="M37" s="219" t="str">
        <f>IFERROR((ENTRI!K37)," ")</f>
        <v>02</v>
      </c>
      <c r="N37" s="219">
        <f>IFERROR((ENTRI!L37)," ")</f>
        <v>1978</v>
      </c>
      <c r="O37" s="219" t="str">
        <f t="shared" si="44"/>
        <v xml:space="preserve">Bandung Baru, 20-02-1978</v>
      </c>
      <c r="P37" s="219">
        <f>IFERROR((ENTRI!N37)," ")</f>
        <v>18</v>
      </c>
      <c r="Q37" s="219" t="str">
        <f>IFERROR((ENTRI!O37)," ")</f>
        <v>07</v>
      </c>
      <c r="R37" s="219">
        <f>IFERROR((ENTRI!P37)," ")</f>
        <v>2003</v>
      </c>
      <c r="S37" s="219" t="str">
        <f t="shared" si="45"/>
        <v>18-07-2003</v>
      </c>
      <c r="T37" s="219">
        <f>IFERROR((ENTRI!Q37)," ")</f>
        <v>18</v>
      </c>
      <c r="U37" s="219" t="str">
        <f>IFERROR((ENTRI!R37)," ")</f>
        <v>07</v>
      </c>
      <c r="V37" s="219">
        <f>IFERROR((ENTRI!S37)," ")</f>
        <v>2003</v>
      </c>
      <c r="W37" s="219" t="str">
        <f t="shared" si="46"/>
        <v>18-07-2003</v>
      </c>
      <c r="X37" s="219">
        <f>IFERROR((ENTRI!T37)," ")</f>
        <v>22</v>
      </c>
      <c r="Y37" s="219">
        <f>IFERROR((ENTRI!U37)," ")</f>
        <v>22</v>
      </c>
      <c r="Z37" s="219">
        <f>IFERROR((ENTRI!V37)," ")</f>
        <v>22</v>
      </c>
      <c r="AA37" s="219">
        <f>IFERROR((ENTRI!W37)," ")</f>
        <v>22</v>
      </c>
      <c r="AB37" s="219" t="str">
        <f>IFERROR((ENTRI!X37)," ")</f>
        <v>S1</v>
      </c>
      <c r="AC37" s="219" t="str">
        <f>IFERROR((ENTRI!Y37)," ")</f>
        <v xml:space="preserve">Pendidikan Agama Islam</v>
      </c>
      <c r="AD37" s="219">
        <f>IFERROR((ENTRI!Z37)," ")</f>
        <v>2002</v>
      </c>
      <c r="AE37" s="219" t="str">
        <f>IFERROR((ENTRI!AA37)," ")</f>
        <v>SUDAH</v>
      </c>
      <c r="AF37" s="219">
        <f>IFERROR((ENTRI!AB37)," ")</f>
        <v>0</v>
      </c>
      <c r="AG37" s="219" t="str">
        <f>IFERROR((ENTRI!AC37)," ")</f>
        <v xml:space="preserve"> </v>
      </c>
      <c r="AH37" s="219">
        <f>IFERROR((ENTRI!AD37)," ")</f>
        <v>0</v>
      </c>
      <c r="AI37" s="219" t="str">
        <f>IFERROR((ENTRI!AE37)," ")</f>
        <v>IPS</v>
      </c>
      <c r="AJ37" s="219">
        <f>IFERROR((ENTRI!AF37)," ")</f>
        <v>0</v>
      </c>
      <c r="AK37" s="219" t="str">
        <f>IFERROR((ENTRI!AG37)," ")</f>
        <v>-</v>
      </c>
      <c r="AL37" s="219" t="str">
        <f>IFERROR((ENTRI!AH37)," ")</f>
        <v>-</v>
      </c>
      <c r="AM37" s="219" t="str">
        <f>IFERROR((ENTRI!AI37)," ")</f>
        <v xml:space="preserve"> </v>
      </c>
      <c r="AN37" s="219" t="str">
        <f>IFERROR((ENTRI!AJ37)," ")</f>
        <v>SUDAH</v>
      </c>
      <c r="AO37" s="219">
        <f>IFERROR((ENTRI!AK37)," ")</f>
        <v>2011</v>
      </c>
      <c r="AP37" s="219" t="str">
        <f>IFERROR((ENTRI!AL37)," ")</f>
        <v>111002188003</v>
      </c>
      <c r="AQ37" s="219" t="str">
        <f>IFERROR((ENTRI!AM37)," ")</f>
        <v>4552756657300022</v>
      </c>
      <c r="AR37" s="216" t="str">
        <f>E37&amp;"."&amp;H37&amp;"."&amp;AW37&amp;"."&amp;ENTRI!$E$4</f>
        <v>04.01.030.2025</v>
      </c>
      <c r="AS37" t="str">
        <f>"YPP.QH/KP.01."&amp;E37&amp;"/"&amp;AW37&amp;"/"&amp;ENTRI!$E$4</f>
        <v>YPP.QH/KP.01.04/030/2025</v>
      </c>
      <c r="AW37" s="277" t="s">
        <v>925</v>
      </c>
    </row>
    <row r="38">
      <c r="A38">
        <f t="shared" si="36"/>
        <v>24</v>
      </c>
      <c r="B38" s="276">
        <f t="shared" si="42"/>
        <v>1995</v>
      </c>
      <c r="C38" s="277">
        <v>31</v>
      </c>
      <c r="D38" s="219" t="str">
        <f>IFERROR(IF(ENTRI!B38=$AZ$9,$BA$9,IF(ENTRI!B38=$AZ$10,$BA$10,IF(ENTRI!B38=$AZ$11,$BA$11,IF(ENTRI!B38=$AZ$12,$BA$12,IF(ENTRI!B38=$AZ$13,$BA$13,IF(ENTRI!B38=$AZ$14,$BA$14,IF(ENTRI!B38=$AZ$15,$BA$15,IF(ENTRI!B38=$AZ$16,$BA$16,IF(ENTRI!B38=$AZ$17,$BA$17,IF(ENTRI!B38=$AZ$18,$BA$18," "))))))))))," ")</f>
        <v xml:space="preserve">MTs Qomarul Hidayah</v>
      </c>
      <c r="E38" s="219" t="str">
        <f>IFERROR((ENTRI!C38)," ")</f>
        <v>04</v>
      </c>
      <c r="F38" s="219">
        <f t="shared" si="43"/>
        <v>24</v>
      </c>
      <c r="G38" s="219" t="str">
        <f>IFERROR((ENTRI!E38)," ")</f>
        <v>Guru</v>
      </c>
      <c r="H38" s="219" t="str">
        <f>IFERROR((ENTRI!F38)," ")</f>
        <v>01</v>
      </c>
      <c r="I38" s="219" t="str">
        <f>IFERROR((ENTRI!G38)," ")</f>
        <v xml:space="preserve">SITI NURSIYAH, S.Pd</v>
      </c>
      <c r="J38" s="219" t="str">
        <f>IFERROR((ENTRI!H38)," ")</f>
        <v xml:space="preserve">19780615  200207 04 01 21</v>
      </c>
      <c r="K38" s="219" t="str">
        <f>IFERROR((ENTRI!I38)," ")</f>
        <v>Trenggalek</v>
      </c>
      <c r="L38" s="219">
        <f>IFERROR((ENTRI!J38)," ")</f>
        <v>15</v>
      </c>
      <c r="M38" s="219" t="str">
        <f>IFERROR((ENTRI!K38)," ")</f>
        <v>06</v>
      </c>
      <c r="N38" s="219">
        <f>IFERROR((ENTRI!L38)," ")</f>
        <v>1978</v>
      </c>
      <c r="O38" s="219" t="str">
        <f t="shared" si="44"/>
        <v xml:space="preserve">Trenggalek, 15-06-1978</v>
      </c>
      <c r="P38" s="219">
        <f>IFERROR((ENTRI!N38)," ")</f>
        <v>17</v>
      </c>
      <c r="Q38" s="219" t="str">
        <f>IFERROR((ENTRI!O38)," ")</f>
        <v>07</v>
      </c>
      <c r="R38" s="219">
        <f>IFERROR((ENTRI!P38)," ")</f>
        <v>2002</v>
      </c>
      <c r="S38" s="219" t="str">
        <f t="shared" si="45"/>
        <v>17-07-2002</v>
      </c>
      <c r="T38" s="219">
        <f>IFERROR((ENTRI!Q38)," ")</f>
        <v>17</v>
      </c>
      <c r="U38" s="219" t="str">
        <f>IFERROR((ENTRI!R38)," ")</f>
        <v>07</v>
      </c>
      <c r="V38" s="219">
        <f>IFERROR((ENTRI!S38)," ")</f>
        <v>2002</v>
      </c>
      <c r="W38" s="219" t="str">
        <f t="shared" si="46"/>
        <v>17-07-2002</v>
      </c>
      <c r="X38" s="219">
        <f>IFERROR((ENTRI!T38)," ")</f>
        <v>23</v>
      </c>
      <c r="Y38" s="219">
        <f>IFERROR((ENTRI!U38)," ")</f>
        <v>23</v>
      </c>
      <c r="Z38" s="219">
        <f>IFERROR((ENTRI!V38)," ")</f>
        <v>23</v>
      </c>
      <c r="AA38" s="219">
        <f>IFERROR((ENTRI!W38)," ")</f>
        <v>23</v>
      </c>
      <c r="AB38" s="219" t="str">
        <f>IFERROR((ENTRI!X38)," ")</f>
        <v>S1</v>
      </c>
      <c r="AC38" s="219" t="str">
        <f>IFERROR((ENTRI!Y38)," ")</f>
        <v xml:space="preserve">Pendidikan Bahasa Inggris</v>
      </c>
      <c r="AD38" s="219">
        <f>IFERROR((ENTRI!Z38)," ")</f>
        <v>2002</v>
      </c>
      <c r="AE38" s="219" t="str">
        <f>IFERROR((ENTRI!AA38)," ")</f>
        <v>SUDAH</v>
      </c>
      <c r="AF38" s="219">
        <f>IFERROR((ENTRI!AB38)," ")</f>
        <v>0</v>
      </c>
      <c r="AG38" s="219" t="str">
        <f>IFERROR((ENTRI!AC38)," ")</f>
        <v xml:space="preserve"> </v>
      </c>
      <c r="AH38" s="219">
        <f>IFERROR((ENTRI!AD38)," ")</f>
        <v>0</v>
      </c>
      <c r="AI38" s="219" t="str">
        <f>IFERROR((ENTRI!AE38)," ")</f>
        <v xml:space="preserve">Bahasa Inggris</v>
      </c>
      <c r="AJ38" s="219">
        <f>IFERROR((ENTRI!AF38)," ")</f>
        <v>0</v>
      </c>
      <c r="AK38" s="219" t="str">
        <f>IFERROR((ENTRI!AG38)," ")</f>
        <v>-</v>
      </c>
      <c r="AL38" s="219" t="str">
        <f>IFERROR((ENTRI!AH38)," ")</f>
        <v>-</v>
      </c>
      <c r="AM38" s="219" t="str">
        <f>IFERROR((ENTRI!AI38)," ")</f>
        <v xml:space="preserve"> </v>
      </c>
      <c r="AN38" s="219" t="str">
        <f>IFERROR((ENTRI!AJ38)," ")</f>
        <v>SUDAH</v>
      </c>
      <c r="AO38" s="219">
        <f>IFERROR((ENTRI!AK38)," ")</f>
        <v>2009</v>
      </c>
      <c r="AP38" s="219" t="str">
        <f>IFERROR((ENTRI!AL38)," ")</f>
        <v>091987957011</v>
      </c>
      <c r="AQ38" s="219" t="str">
        <f>IFERROR((ENTRI!AM38)," ")</f>
        <v>3947756657300012</v>
      </c>
      <c r="AR38" s="216" t="str">
        <f>E38&amp;"."&amp;H38&amp;"."&amp;AW38&amp;"."&amp;ENTRI!$E$4</f>
        <v>04.01.031.2025</v>
      </c>
      <c r="AS38" t="str">
        <f>"YPP.QH/KP.01."&amp;E38&amp;"/"&amp;AW38&amp;"/"&amp;ENTRI!$E$4</f>
        <v>YPP.QH/KP.01.04/031/2025</v>
      </c>
      <c r="AW38" s="277" t="s">
        <v>926</v>
      </c>
    </row>
    <row r="39">
      <c r="A39">
        <f t="shared" si="36"/>
        <v>39</v>
      </c>
      <c r="B39" s="276">
        <f t="shared" si="42"/>
        <v>1998</v>
      </c>
      <c r="C39" s="277">
        <v>32</v>
      </c>
      <c r="D39" s="219" t="str">
        <f>IFERROR(IF(ENTRI!B39=$AZ$9,$BA$9,IF(ENTRI!B39=$AZ$10,$BA$10,IF(ENTRI!B39=$AZ$11,$BA$11,IF(ENTRI!B39=$AZ$12,$BA$12,IF(ENTRI!B39=$AZ$13,$BA$13,IF(ENTRI!B39=$AZ$14,$BA$14,IF(ENTRI!B39=$AZ$15,$BA$15,IF(ENTRI!B39=$AZ$16,$BA$16,IF(ENTRI!B39=$AZ$17,$BA$17,IF(ENTRI!B39=$AZ$18,$BA$18," "))))))))))," ")</f>
        <v xml:space="preserve">MTs Qomarul Hidayah</v>
      </c>
      <c r="E39" s="219" t="str">
        <f>IFERROR((ENTRI!C39)," ")</f>
        <v>04</v>
      </c>
      <c r="F39" s="219">
        <f t="shared" si="43"/>
        <v>39</v>
      </c>
      <c r="G39" s="219" t="str">
        <f>IFERROR((ENTRI!E39)," ")</f>
        <v>Guru</v>
      </c>
      <c r="H39" s="219" t="str">
        <f>IFERROR((ENTRI!F39)," ")</f>
        <v>01</v>
      </c>
      <c r="I39" s="219" t="str">
        <f>IFERROR((ENTRI!G39)," ")</f>
        <v xml:space="preserve">ALI MASKUR, S.Pd.I</v>
      </c>
      <c r="J39" s="219" t="str">
        <f>IFERROR((ENTRI!H39)," ")</f>
        <v xml:space="preserve">19850828  200507 04 01 95</v>
      </c>
      <c r="K39" s="219" t="str">
        <f>IFERROR((ENTRI!I39)," ")</f>
        <v>Trenggalek</v>
      </c>
      <c r="L39" s="219">
        <f>IFERROR((ENTRI!J39)," ")</f>
        <v>28</v>
      </c>
      <c r="M39" s="219" t="str">
        <f>IFERROR((ENTRI!K39)," ")</f>
        <v>08</v>
      </c>
      <c r="N39" s="219">
        <f>IFERROR((ENTRI!L39)," ")</f>
        <v>1985</v>
      </c>
      <c r="O39" s="219" t="str">
        <f t="shared" si="44"/>
        <v xml:space="preserve">Trenggalek, 28-08-1985</v>
      </c>
      <c r="P39" s="219">
        <f>IFERROR((ENTRI!N39)," ")</f>
        <v>18</v>
      </c>
      <c r="Q39" s="219" t="str">
        <f>IFERROR((ENTRI!O39)," ")</f>
        <v>07</v>
      </c>
      <c r="R39" s="219">
        <f>IFERROR((ENTRI!P39)," ")</f>
        <v>2005</v>
      </c>
      <c r="S39" s="219" t="str">
        <f t="shared" si="45"/>
        <v>18-07-2005</v>
      </c>
      <c r="T39" s="219">
        <f>IFERROR((ENTRI!Q39)," ")</f>
        <v>18</v>
      </c>
      <c r="U39" s="219" t="str">
        <f>IFERROR((ENTRI!R39)," ")</f>
        <v>07</v>
      </c>
      <c r="V39" s="219">
        <f>IFERROR((ENTRI!S39)," ")</f>
        <v>2005</v>
      </c>
      <c r="W39" s="219" t="str">
        <f t="shared" si="46"/>
        <v>18-07-2005</v>
      </c>
      <c r="X39" s="219">
        <f>IFERROR((ENTRI!T39)," ")</f>
        <v>20</v>
      </c>
      <c r="Y39" s="219">
        <f>IFERROR((ENTRI!U39)," ")</f>
        <v>20</v>
      </c>
      <c r="Z39" s="219">
        <f>IFERROR((ENTRI!V39)," ")</f>
        <v>20</v>
      </c>
      <c r="AA39" s="219">
        <f>IFERROR((ENTRI!W39)," ")</f>
        <v>20</v>
      </c>
      <c r="AB39" s="219" t="str">
        <f>IFERROR((ENTRI!X39)," ")</f>
        <v>S1</v>
      </c>
      <c r="AC39" s="219" t="str">
        <f>IFERROR((ENTRI!Y39)," ")</f>
        <v xml:space="preserve">Pendidikan Agama Islam</v>
      </c>
      <c r="AD39" s="219">
        <f>IFERROR((ENTRI!Z39)," ")</f>
        <v>2009</v>
      </c>
      <c r="AE39" s="219">
        <f>IFERROR((ENTRI!AA39)," ")</f>
        <v>0</v>
      </c>
      <c r="AF39" s="219">
        <f>IFERROR((ENTRI!AB39)," ")</f>
        <v>0</v>
      </c>
      <c r="AG39" s="219" t="str">
        <f>IFERROR((ENTRI!AC39)," ")</f>
        <v xml:space="preserve"> </v>
      </c>
      <c r="AH39" s="219">
        <f>IFERROR((ENTRI!AD39)," ")</f>
        <v>0</v>
      </c>
      <c r="AI39" s="219" t="str">
        <f>IFERROR((ENTRI!AE39)," ")</f>
        <v>TIK</v>
      </c>
      <c r="AJ39" s="219">
        <f>IFERROR((ENTRI!AF39)," ")</f>
        <v>22</v>
      </c>
      <c r="AK39" s="219" t="str">
        <f>IFERROR((ENTRI!AG39)," ")</f>
        <v xml:space="preserve">Kepala Perpustakaan </v>
      </c>
      <c r="AL39" s="219">
        <f>IFERROR((ENTRI!AH39)," ")</f>
        <v>12</v>
      </c>
      <c r="AM39" s="219">
        <f>IFERROR((ENTRI!AI39)," ")</f>
        <v>34</v>
      </c>
      <c r="AN39" s="219" t="str">
        <f>IFERROR((ENTRI!AJ39)," ")</f>
        <v>SUDAH</v>
      </c>
      <c r="AO39" s="219">
        <f>IFERROR((ENTRI!AK39)," ")</f>
        <v>2012</v>
      </c>
      <c r="AP39" s="219" t="str">
        <f>IFERROR((ENTRI!AL39)," ")</f>
        <v>122242188011</v>
      </c>
      <c r="AQ39" s="219" t="str">
        <f>IFERROR((ENTRI!AM39)," ")</f>
        <v>1160763666200003</v>
      </c>
      <c r="AR39" s="216" t="str">
        <f>E39&amp;"."&amp;H39&amp;"."&amp;AW39&amp;"."&amp;ENTRI!$E$4</f>
        <v>04.01.032.2025</v>
      </c>
      <c r="AS39" t="str">
        <f>"YPP.QH/KP.01."&amp;E39&amp;"/"&amp;AW39&amp;"/"&amp;ENTRI!$E$4</f>
        <v>YPP.QH/KP.01.04/032/2025</v>
      </c>
      <c r="AW39" s="277" t="s">
        <v>927</v>
      </c>
    </row>
    <row r="40">
      <c r="A40">
        <f t="shared" ref="A40:A103" si="47">IF(B40=0," ",RANK(B40,$B$8:$B$178,1))</f>
        <v>33</v>
      </c>
      <c r="B40" s="276">
        <f t="shared" si="42"/>
        <v>1997</v>
      </c>
      <c r="C40" s="277">
        <v>33</v>
      </c>
      <c r="D40" s="219" t="str">
        <f>IFERROR(IF(ENTRI!B40=$AZ$9,$BA$9,IF(ENTRI!B40=$AZ$10,$BA$10,IF(ENTRI!B40=$AZ$11,$BA$11,IF(ENTRI!B40=$AZ$12,$BA$12,IF(ENTRI!B40=$AZ$13,$BA$13,IF(ENTRI!B40=$AZ$14,$BA$14,IF(ENTRI!B40=$AZ$15,$BA$15,IF(ENTRI!B40=$AZ$16,$BA$16,IF(ENTRI!B40=$AZ$17,$BA$17,IF(ENTRI!B40=$AZ$18,$BA$18," "))))))))))," ")</f>
        <v xml:space="preserve">MTs Qomarul Hidayah</v>
      </c>
      <c r="E40" s="219" t="str">
        <f>IFERROR((ENTRI!C40)," ")</f>
        <v>04</v>
      </c>
      <c r="F40" s="219">
        <f t="shared" si="43"/>
        <v>33</v>
      </c>
      <c r="G40" s="219" t="str">
        <f>IFERROR((ENTRI!E40)," ")</f>
        <v>Guru</v>
      </c>
      <c r="H40" s="219" t="str">
        <f>IFERROR((ENTRI!F40)," ")</f>
        <v>01</v>
      </c>
      <c r="I40" s="219" t="str">
        <f>IFERROR((ENTRI!G40)," ")</f>
        <v xml:space="preserve">FARHATUN NADHIROH, S.Si</v>
      </c>
      <c r="J40" s="219" t="str">
        <f>IFERROR((ENTRI!H40)," ")</f>
        <v xml:space="preserve">19800201  200407 04 01 89</v>
      </c>
      <c r="K40" s="219" t="str">
        <f>IFERROR((ENTRI!I40)," ")</f>
        <v>Madiun</v>
      </c>
      <c r="L40" s="219" t="str">
        <f>IFERROR((ENTRI!J40)," ")</f>
        <v>01</v>
      </c>
      <c r="M40" s="219" t="str">
        <f>IFERROR((ENTRI!K40)," ")</f>
        <v>02</v>
      </c>
      <c r="N40" s="219">
        <f>IFERROR((ENTRI!L40)," ")</f>
        <v>1980</v>
      </c>
      <c r="O40" s="219" t="str">
        <f t="shared" si="44"/>
        <v xml:space="preserve">Madiun, 01-02-1980</v>
      </c>
      <c r="P40" s="219" t="str">
        <f>IFERROR((ENTRI!N40)," ")</f>
        <v>19</v>
      </c>
      <c r="Q40" s="219" t="str">
        <f>IFERROR((ENTRI!O40)," ")</f>
        <v>07</v>
      </c>
      <c r="R40" s="219">
        <f>IFERROR((ENTRI!P40)," ")</f>
        <v>2004</v>
      </c>
      <c r="S40" s="219" t="str">
        <f t="shared" si="45"/>
        <v>19-07-2004</v>
      </c>
      <c r="T40" s="219" t="str">
        <f>IFERROR((ENTRI!Q40)," ")</f>
        <v>19</v>
      </c>
      <c r="U40" s="219" t="str">
        <f>IFERROR((ENTRI!R40)," ")</f>
        <v>07</v>
      </c>
      <c r="V40" s="219">
        <f>IFERROR((ENTRI!S40)," ")</f>
        <v>2004</v>
      </c>
      <c r="W40" s="219" t="str">
        <f t="shared" si="46"/>
        <v>19-07-2004</v>
      </c>
      <c r="X40" s="219">
        <f>IFERROR((ENTRI!T40)," ")</f>
        <v>21</v>
      </c>
      <c r="Y40" s="219">
        <f>IFERROR((ENTRI!U40)," ")</f>
        <v>21</v>
      </c>
      <c r="Z40" s="219">
        <f>IFERROR((ENTRI!V40)," ")</f>
        <v>21</v>
      </c>
      <c r="AA40" s="219">
        <f>IFERROR((ENTRI!W40)," ")</f>
        <v>21</v>
      </c>
      <c r="AB40" s="219" t="str">
        <f>IFERROR((ENTRI!X40)," ")</f>
        <v>S1</v>
      </c>
      <c r="AC40" s="219" t="str">
        <f>IFERROR((ENTRI!Y40)," ")</f>
        <v>KIMIA</v>
      </c>
      <c r="AD40" s="219">
        <f>IFERROR((ENTRI!Z40)," ")</f>
        <v>2003</v>
      </c>
      <c r="AE40" s="219">
        <f>IFERROR((ENTRI!AA40)," ")</f>
        <v>0</v>
      </c>
      <c r="AF40" s="219">
        <f>IFERROR((ENTRI!AB40)," ")</f>
        <v>0</v>
      </c>
      <c r="AG40" s="219" t="str">
        <f>IFERROR((ENTRI!AC40)," ")</f>
        <v xml:space="preserve"> </v>
      </c>
      <c r="AH40" s="219">
        <f>IFERROR((ENTRI!AD40)," ")</f>
        <v>0</v>
      </c>
      <c r="AI40" s="219" t="str">
        <f>IFERROR((ENTRI!AE40)," ")</f>
        <v>IPA</v>
      </c>
      <c r="AJ40" s="219">
        <f>IFERROR((ENTRI!AF40)," ")</f>
        <v>30</v>
      </c>
      <c r="AK40" s="219" t="str">
        <f>IFERROR((ENTRI!AG40)," ")</f>
        <v>-</v>
      </c>
      <c r="AL40" s="219" t="str">
        <f>IFERROR((ENTRI!AH40)," ")</f>
        <v>-</v>
      </c>
      <c r="AM40" s="219" t="str">
        <f>IFERROR((ENTRI!AI40)," ")</f>
        <v xml:space="preserve"> </v>
      </c>
      <c r="AN40" s="219" t="str">
        <f>IFERROR((ENTRI!AJ40)," ")</f>
        <v>SUDAH</v>
      </c>
      <c r="AO40" s="219">
        <f>IFERROR((ENTRI!AK40)," ")</f>
        <v>2010</v>
      </c>
      <c r="AP40" s="219" t="str">
        <f>IFERROR((ENTRI!AL40)," ")</f>
        <v>021285967011</v>
      </c>
      <c r="AQ40" s="219" t="str">
        <f>IFERROR((ENTRI!AM40)," ")</f>
        <v>0533758659210152</v>
      </c>
      <c r="AR40" s="216" t="str">
        <f>E40&amp;"."&amp;H40&amp;"."&amp;AW40&amp;"."&amp;ENTRI!$E$4</f>
        <v>04.01.033.2025</v>
      </c>
      <c r="AS40" t="str">
        <f>"YPP.QH/KP.01."&amp;E40&amp;"/"&amp;AW40&amp;"/"&amp;ENTRI!$E$4</f>
        <v>YPP.QH/KP.01.04/033/2025</v>
      </c>
      <c r="AW40" s="277" t="s">
        <v>928</v>
      </c>
    </row>
    <row r="41">
      <c r="A41">
        <f t="shared" si="47"/>
        <v>39</v>
      </c>
      <c r="B41" s="276">
        <f t="shared" si="42"/>
        <v>1998</v>
      </c>
      <c r="C41" s="277">
        <v>34</v>
      </c>
      <c r="D41" s="219" t="str">
        <f>IFERROR(IF(ENTRI!B41=$AZ$9,$BA$9,IF(ENTRI!B41=$AZ$10,$BA$10,IF(ENTRI!B41=$AZ$11,$BA$11,IF(ENTRI!B41=$AZ$12,$BA$12,IF(ENTRI!B41=$AZ$13,$BA$13,IF(ENTRI!B41=$AZ$14,$BA$14,IF(ENTRI!B41=$AZ$15,$BA$15,IF(ENTRI!B41=$AZ$16,$BA$16,IF(ENTRI!B41=$AZ$17,$BA$17,IF(ENTRI!B41=$AZ$18,$BA$18," "))))))))))," ")</f>
        <v xml:space="preserve">MTs Qomarul Hidayah</v>
      </c>
      <c r="E41" s="219" t="str">
        <f>IFERROR((ENTRI!C41)," ")</f>
        <v>04</v>
      </c>
      <c r="F41" s="219">
        <f t="shared" si="43"/>
        <v>39</v>
      </c>
      <c r="G41" s="219" t="str">
        <f>IFERROR((ENTRI!E41)," ")</f>
        <v>Guru</v>
      </c>
      <c r="H41" s="219" t="str">
        <f>IFERROR((ENTRI!F41)," ")</f>
        <v>01</v>
      </c>
      <c r="I41" s="219" t="str">
        <f>IFERROR((ENTRI!G41)," ")</f>
        <v xml:space="preserve">AGUNG BUDI SUSILO, S.Pd</v>
      </c>
      <c r="J41" s="219" t="str">
        <f>IFERROR((ENTRI!H41)," ")</f>
        <v xml:space="preserve">19811001  200507 04 01 34</v>
      </c>
      <c r="K41" s="219" t="str">
        <f>IFERROR((ENTRI!I41)," ")</f>
        <v>Trenggalek</v>
      </c>
      <c r="L41" s="219" t="str">
        <f>IFERROR((ENTRI!J41)," ")</f>
        <v>01</v>
      </c>
      <c r="M41" s="219">
        <f>IFERROR((ENTRI!K41)," ")</f>
        <v>10</v>
      </c>
      <c r="N41" s="219">
        <f>IFERROR((ENTRI!L41)," ")</f>
        <v>1981</v>
      </c>
      <c r="O41" s="219" t="str">
        <f t="shared" si="44"/>
        <v xml:space="preserve">Trenggalek, 01-10-1981</v>
      </c>
      <c r="P41" s="219">
        <f>IFERROR((ENTRI!N41)," ")</f>
        <v>18</v>
      </c>
      <c r="Q41" s="219" t="str">
        <f>IFERROR((ENTRI!O41)," ")</f>
        <v>07</v>
      </c>
      <c r="R41" s="219">
        <f>IFERROR((ENTRI!P41)," ")</f>
        <v>2005</v>
      </c>
      <c r="S41" s="219" t="str">
        <f t="shared" si="45"/>
        <v>18-07-2005</v>
      </c>
      <c r="T41" s="219">
        <f>IFERROR((ENTRI!Q41)," ")</f>
        <v>18</v>
      </c>
      <c r="U41" s="219" t="str">
        <f>IFERROR((ENTRI!R41)," ")</f>
        <v>07</v>
      </c>
      <c r="V41" s="219">
        <f>IFERROR((ENTRI!S41)," ")</f>
        <v>2005</v>
      </c>
      <c r="W41" s="219" t="str">
        <f t="shared" si="46"/>
        <v>18-07-2005</v>
      </c>
      <c r="X41" s="219">
        <f>IFERROR((ENTRI!T41)," ")</f>
        <v>20</v>
      </c>
      <c r="Y41" s="219">
        <f>IFERROR((ENTRI!U41)," ")</f>
        <v>20</v>
      </c>
      <c r="Z41" s="219">
        <f>IFERROR((ENTRI!V41)," ")</f>
        <v>20</v>
      </c>
      <c r="AA41" s="219">
        <f>IFERROR((ENTRI!W41)," ")</f>
        <v>20</v>
      </c>
      <c r="AB41" s="219" t="str">
        <f>IFERROR((ENTRI!X41)," ")</f>
        <v>S1</v>
      </c>
      <c r="AC41" s="219" t="str">
        <f>IFERROR((ENTRI!Y41)," ")</f>
        <v>Penjaskesrek</v>
      </c>
      <c r="AD41" s="219">
        <f>IFERROR((ENTRI!Z41)," ")</f>
        <v>2010</v>
      </c>
      <c r="AE41" s="219">
        <f>IFERROR((ENTRI!AA41)," ")</f>
        <v>0</v>
      </c>
      <c r="AF41" s="219">
        <f>IFERROR((ENTRI!AB41)," ")</f>
        <v>0</v>
      </c>
      <c r="AG41" s="219" t="str">
        <f>IFERROR((ENTRI!AC41)," ")</f>
        <v xml:space="preserve"> </v>
      </c>
      <c r="AH41" s="219">
        <f>IFERROR((ENTRI!AD41)," ")</f>
        <v>0</v>
      </c>
      <c r="AI41" s="219" t="str">
        <f>IFERROR((ENTRI!AE41)," ")</f>
        <v>Penjaskes</v>
      </c>
      <c r="AJ41" s="219">
        <f>IFERROR((ENTRI!AF41)," ")</f>
        <v>22</v>
      </c>
      <c r="AK41" s="219" t="str">
        <f>IFERROR((ENTRI!AG41)," ")</f>
        <v>-</v>
      </c>
      <c r="AL41" s="219" t="str">
        <f>IFERROR((ENTRI!AH41)," ")</f>
        <v>-</v>
      </c>
      <c r="AM41" s="219" t="str">
        <f>IFERROR((ENTRI!AI41)," ")</f>
        <v xml:space="preserve"> </v>
      </c>
      <c r="AN41" s="219" t="str">
        <f>IFERROR((ENTRI!AJ41)," ")</f>
        <v>SUDAH</v>
      </c>
      <c r="AO41" s="219">
        <f>IFERROR((ENTRI!AK41)," ")</f>
        <v>2013</v>
      </c>
      <c r="AP41" s="219" t="str">
        <f>IFERROR((ENTRI!AL41)," ")</f>
        <v>132202183003</v>
      </c>
      <c r="AQ41" s="219" t="str">
        <f>IFERROR((ENTRI!AM41)," ")</f>
        <v>9442759661200022</v>
      </c>
      <c r="AR41" s="216" t="str">
        <f>E41&amp;"."&amp;H41&amp;"."&amp;AW41&amp;"."&amp;ENTRI!$E$4</f>
        <v>04.01.034.2025</v>
      </c>
      <c r="AS41" t="str">
        <f>"YPP.QH/KP.01."&amp;E41&amp;"/"&amp;AW41&amp;"/"&amp;ENTRI!$E$4</f>
        <v>YPP.QH/KP.01.04/034/2025</v>
      </c>
      <c r="AW41" s="277" t="s">
        <v>929</v>
      </c>
    </row>
    <row r="42">
      <c r="A42">
        <f t="shared" si="47"/>
        <v>39</v>
      </c>
      <c r="B42" s="276">
        <f t="shared" si="42"/>
        <v>1998</v>
      </c>
      <c r="C42" s="277">
        <v>35</v>
      </c>
      <c r="D42" s="219" t="str">
        <f>IFERROR(IF(ENTRI!B42=$AZ$9,$BA$9,IF(ENTRI!B42=$AZ$10,$BA$10,IF(ENTRI!B42=$AZ$11,$BA$11,IF(ENTRI!B42=$AZ$12,$BA$12,IF(ENTRI!B42=$AZ$13,$BA$13,IF(ENTRI!B42=$AZ$14,$BA$14,IF(ENTRI!B42=$AZ$15,$BA$15,IF(ENTRI!B42=$AZ$16,$BA$16,IF(ENTRI!B42=$AZ$17,$BA$17,IF(ENTRI!B42=$AZ$18,$BA$18," "))))))))))," ")</f>
        <v xml:space="preserve">MTs Qomarul Hidayah</v>
      </c>
      <c r="E42" s="219" t="str">
        <f>IFERROR((ENTRI!C42)," ")</f>
        <v>04</v>
      </c>
      <c r="F42" s="219">
        <f t="shared" si="43"/>
        <v>39</v>
      </c>
      <c r="G42" s="219" t="str">
        <f>IFERROR((ENTRI!E42)," ")</f>
        <v>Guru</v>
      </c>
      <c r="H42" s="219" t="str">
        <f>IFERROR((ENTRI!F42)," ")</f>
        <v>01</v>
      </c>
      <c r="I42" s="219" t="str">
        <f>IFERROR((ENTRI!G42)," ")</f>
        <v xml:space="preserve">AGUNG WITANTO, S.Pd</v>
      </c>
      <c r="J42" s="219" t="str">
        <f>IFERROR((ENTRI!H42)," ")</f>
        <v xml:space="preserve">19831206  200507 04 01 95</v>
      </c>
      <c r="K42" s="219" t="str">
        <f>IFERROR((ENTRI!I42)," ")</f>
        <v>Trenggalek</v>
      </c>
      <c r="L42" s="219" t="str">
        <f>IFERROR((ENTRI!J42)," ")</f>
        <v>06</v>
      </c>
      <c r="M42" s="219">
        <f>IFERROR((ENTRI!K42)," ")</f>
        <v>12</v>
      </c>
      <c r="N42" s="219">
        <f>IFERROR((ENTRI!L42)," ")</f>
        <v>1983</v>
      </c>
      <c r="O42" s="219" t="str">
        <f t="shared" si="44"/>
        <v xml:space="preserve">Trenggalek, 06-12-1983</v>
      </c>
      <c r="P42" s="219">
        <f>IFERROR((ENTRI!N42)," ")</f>
        <v>18</v>
      </c>
      <c r="Q42" s="219" t="str">
        <f>IFERROR((ENTRI!O42)," ")</f>
        <v>07</v>
      </c>
      <c r="R42" s="219">
        <f>IFERROR((ENTRI!P42)," ")</f>
        <v>2005</v>
      </c>
      <c r="S42" s="219" t="str">
        <f t="shared" si="45"/>
        <v>18-07-2005</v>
      </c>
      <c r="T42" s="219">
        <f>IFERROR((ENTRI!Q42)," ")</f>
        <v>18</v>
      </c>
      <c r="U42" s="219" t="str">
        <f>IFERROR((ENTRI!R42)," ")</f>
        <v>07</v>
      </c>
      <c r="V42" s="219">
        <f>IFERROR((ENTRI!S42)," ")</f>
        <v>2005</v>
      </c>
      <c r="W42" s="219" t="str">
        <f t="shared" si="46"/>
        <v>18-07-2005</v>
      </c>
      <c r="X42" s="219">
        <f>IFERROR((ENTRI!T42)," ")</f>
        <v>20</v>
      </c>
      <c r="Y42" s="219">
        <f>IFERROR((ENTRI!U42)," ")</f>
        <v>20</v>
      </c>
      <c r="Z42" s="219">
        <f>IFERROR((ENTRI!V42)," ")</f>
        <v>20</v>
      </c>
      <c r="AA42" s="219">
        <f>IFERROR((ENTRI!W42)," ")</f>
        <v>20</v>
      </c>
      <c r="AB42" s="219" t="str">
        <f>IFERROR((ENTRI!X42)," ")</f>
        <v>S1</v>
      </c>
      <c r="AC42" s="219" t="str">
        <f>IFERROR((ENTRI!Y42)," ")</f>
        <v xml:space="preserve">Pendidikan Fisika</v>
      </c>
      <c r="AD42" s="219">
        <f>IFERROR((ENTRI!Z42)," ")</f>
        <v>2007</v>
      </c>
      <c r="AE42" s="219">
        <f>IFERROR((ENTRI!AA42)," ")</f>
        <v>0</v>
      </c>
      <c r="AF42" s="219">
        <f>IFERROR((ENTRI!AB42)," ")</f>
        <v>0</v>
      </c>
      <c r="AG42" s="219" t="str">
        <f>IFERROR((ENTRI!AC42)," ")</f>
        <v xml:space="preserve"> </v>
      </c>
      <c r="AH42" s="219">
        <f>IFERROR((ENTRI!AD42)," ")</f>
        <v>0</v>
      </c>
      <c r="AI42" s="219" t="str">
        <f>IFERROR((ENTRI!AE42)," ")</f>
        <v>IPA</v>
      </c>
      <c r="AJ42" s="219">
        <f>IFERROR((ENTRI!AF42)," ")</f>
        <v>25</v>
      </c>
      <c r="AK42" s="219" t="str">
        <f>IFERROR((ENTRI!AG42)," ")</f>
        <v>-</v>
      </c>
      <c r="AL42" s="219" t="str">
        <f>IFERROR((ENTRI!AH42)," ")</f>
        <v>-</v>
      </c>
      <c r="AM42" s="219" t="str">
        <f>IFERROR((ENTRI!AI42)," ")</f>
        <v xml:space="preserve"> </v>
      </c>
      <c r="AN42" s="219" t="str">
        <f>IFERROR((ENTRI!AJ42)," ")</f>
        <v>SUDAH</v>
      </c>
      <c r="AO42" s="219">
        <f>IFERROR((ENTRI!AK42)," ")</f>
        <v>2013</v>
      </c>
      <c r="AP42" s="219" t="str">
        <f>IFERROR((ENTRI!AL42)," ")</f>
        <v>130972178002</v>
      </c>
      <c r="AQ42" s="219" t="str">
        <f>IFERROR((ENTRI!AM42)," ")</f>
        <v>7538761663110053</v>
      </c>
      <c r="AR42" s="216" t="str">
        <f>E42&amp;"."&amp;H42&amp;"."&amp;AW42&amp;"."&amp;ENTRI!$E$4</f>
        <v>04.01.035.2025</v>
      </c>
      <c r="AS42" t="str">
        <f>"YPP.QH/KP.01."&amp;E42&amp;"/"&amp;AW42&amp;"/"&amp;ENTRI!$E$4</f>
        <v>YPP.QH/KP.01.04/035/2025</v>
      </c>
      <c r="AW42" s="277" t="s">
        <v>930</v>
      </c>
    </row>
    <row r="43">
      <c r="A43">
        <f t="shared" si="47"/>
        <v>39</v>
      </c>
      <c r="B43" s="276">
        <f t="shared" si="42"/>
        <v>1998</v>
      </c>
      <c r="C43" s="277">
        <v>36</v>
      </c>
      <c r="D43" s="219" t="str">
        <f>IFERROR(IF(ENTRI!B43=$AZ$9,$BA$9,IF(ENTRI!B43=$AZ$10,$BA$10,IF(ENTRI!B43=$AZ$11,$BA$11,IF(ENTRI!B43=$AZ$12,$BA$12,IF(ENTRI!B43=$AZ$13,$BA$13,IF(ENTRI!B43=$AZ$14,$BA$14,IF(ENTRI!B43=$AZ$15,$BA$15,IF(ENTRI!B43=$AZ$16,$BA$16,IF(ENTRI!B43=$AZ$17,$BA$17,IF(ENTRI!B43=$AZ$18,$BA$18," "))))))))))," ")</f>
        <v xml:space="preserve">MTs Qomarul Hidayah</v>
      </c>
      <c r="E43" s="219" t="str">
        <f>IFERROR((ENTRI!C43)," ")</f>
        <v>04</v>
      </c>
      <c r="F43" s="219">
        <f t="shared" si="43"/>
        <v>39</v>
      </c>
      <c r="G43" s="219" t="str">
        <f>IFERROR((ENTRI!E43)," ")</f>
        <v>Guru</v>
      </c>
      <c r="H43" s="219" t="str">
        <f>IFERROR((ENTRI!F43)," ")</f>
        <v>01</v>
      </c>
      <c r="I43" s="219" t="str">
        <f>IFERROR((ENTRI!G43)," ")</f>
        <v xml:space="preserve">WIJI SALAMAH, S.Pd.I</v>
      </c>
      <c r="J43" s="219" t="str">
        <f>IFERROR((ENTRI!H43)," ")</f>
        <v xml:space="preserve">19860816  200507 04 01 95</v>
      </c>
      <c r="K43" s="219" t="str">
        <f>IFERROR((ENTRI!I43)," ")</f>
        <v>Trenggalek</v>
      </c>
      <c r="L43" s="219">
        <f>IFERROR((ENTRI!J43)," ")</f>
        <v>16</v>
      </c>
      <c r="M43" s="219" t="str">
        <f>IFERROR((ENTRI!K43)," ")</f>
        <v>08</v>
      </c>
      <c r="N43" s="219">
        <f>IFERROR((ENTRI!L43)," ")</f>
        <v>1986</v>
      </c>
      <c r="O43" s="219" t="str">
        <f t="shared" si="44"/>
        <v xml:space="preserve">Trenggalek, 16-08-1986</v>
      </c>
      <c r="P43" s="219">
        <f>IFERROR((ENTRI!N43)," ")</f>
        <v>18</v>
      </c>
      <c r="Q43" s="219" t="str">
        <f>IFERROR((ENTRI!O43)," ")</f>
        <v>07</v>
      </c>
      <c r="R43" s="219">
        <f>IFERROR((ENTRI!P43)," ")</f>
        <v>2005</v>
      </c>
      <c r="S43" s="219" t="str">
        <f t="shared" si="45"/>
        <v>18-07-2005</v>
      </c>
      <c r="T43" s="219">
        <f>IFERROR((ENTRI!Q43)," ")</f>
        <v>18</v>
      </c>
      <c r="U43" s="219" t="str">
        <f>IFERROR((ENTRI!R43)," ")</f>
        <v>07</v>
      </c>
      <c r="V43" s="219">
        <f>IFERROR((ENTRI!S43)," ")</f>
        <v>2005</v>
      </c>
      <c r="W43" s="219" t="str">
        <f t="shared" si="46"/>
        <v>18-07-2005</v>
      </c>
      <c r="X43" s="219">
        <f>IFERROR((ENTRI!T43)," ")</f>
        <v>20</v>
      </c>
      <c r="Y43" s="219">
        <f>IFERROR((ENTRI!U43)," ")</f>
        <v>20</v>
      </c>
      <c r="Z43" s="219">
        <f>IFERROR((ENTRI!V43)," ")</f>
        <v>20</v>
      </c>
      <c r="AA43" s="219">
        <f>IFERROR((ENTRI!W43)," ")</f>
        <v>20</v>
      </c>
      <c r="AB43" s="219" t="str">
        <f>IFERROR((ENTRI!X43)," ")</f>
        <v>S1</v>
      </c>
      <c r="AC43" s="219" t="str">
        <f>IFERROR((ENTRI!Y43)," ")</f>
        <v xml:space="preserve">Pendidikan Agama Islam</v>
      </c>
      <c r="AD43" s="219">
        <f>IFERROR((ENTRI!Z43)," ")</f>
        <v>2009</v>
      </c>
      <c r="AE43" s="219">
        <f>IFERROR((ENTRI!AA43)," ")</f>
        <v>0</v>
      </c>
      <c r="AF43" s="219">
        <f>IFERROR((ENTRI!AB43)," ")</f>
        <v>0</v>
      </c>
      <c r="AG43" s="219" t="str">
        <f>IFERROR((ENTRI!AC43)," ")</f>
        <v xml:space="preserve"> </v>
      </c>
      <c r="AH43" s="219">
        <f>IFERROR((ENTRI!AD43)," ")</f>
        <v>0</v>
      </c>
      <c r="AI43" s="219" t="str">
        <f>IFERROR((ENTRI!AE43)," ")</f>
        <v xml:space="preserve">Seni Budaya, Aswaja</v>
      </c>
      <c r="AJ43" s="219">
        <f>IFERROR((ENTRI!AF43)," ")</f>
        <v>14</v>
      </c>
      <c r="AK43" s="219" t="str">
        <f>IFERROR((ENTRI!AG43)," ")</f>
        <v>-</v>
      </c>
      <c r="AL43" s="219" t="str">
        <f>IFERROR((ENTRI!AH43)," ")</f>
        <v>-</v>
      </c>
      <c r="AM43" s="219" t="str">
        <f>IFERROR((ENTRI!AI43)," ")</f>
        <v xml:space="preserve"> </v>
      </c>
      <c r="AN43" s="219" t="str">
        <f>IFERROR((ENTRI!AJ43)," ")</f>
        <v>BELUM</v>
      </c>
      <c r="AO43" s="219">
        <f>IFERROR((ENTRI!AK43)," ")</f>
        <v>0</v>
      </c>
      <c r="AP43" s="219">
        <f>IFERROR((ENTRI!AL43)," ")</f>
        <v>0</v>
      </c>
      <c r="AQ43" s="219" t="str">
        <f>IFERROR((ENTRI!AM43)," ")</f>
        <v>4148764665300033</v>
      </c>
      <c r="AR43" s="216" t="str">
        <f>E43&amp;"."&amp;H43&amp;"."&amp;AW43&amp;"."&amp;ENTRI!$E$4</f>
        <v>04.01.036.2025</v>
      </c>
      <c r="AS43" t="str">
        <f>"YPP.QH/KP.01."&amp;E43&amp;"/"&amp;AW43&amp;"/"&amp;ENTRI!$E$4</f>
        <v>YPP.QH/KP.01.04/036/2025</v>
      </c>
      <c r="AW43" s="277" t="s">
        <v>931</v>
      </c>
    </row>
    <row r="44">
      <c r="A44">
        <f t="shared" si="47"/>
        <v>39</v>
      </c>
      <c r="B44" s="276">
        <f t="shared" si="42"/>
        <v>1998</v>
      </c>
      <c r="C44" s="277">
        <v>37</v>
      </c>
      <c r="D44" s="219" t="str">
        <f>IFERROR(IF(ENTRI!B44=$AZ$9,$BA$9,IF(ENTRI!B44=$AZ$10,$BA$10,IF(ENTRI!B44=$AZ$11,$BA$11,IF(ENTRI!B44=$AZ$12,$BA$12,IF(ENTRI!B44=$AZ$13,$BA$13,IF(ENTRI!B44=$AZ$14,$BA$14,IF(ENTRI!B44=$AZ$15,$BA$15,IF(ENTRI!B44=$AZ$16,$BA$16,IF(ENTRI!B44=$AZ$17,$BA$17,IF(ENTRI!B44=$AZ$18,$BA$18," "))))))))))," ")</f>
        <v xml:space="preserve">MTs Qomarul Hidayah</v>
      </c>
      <c r="E44" s="219" t="str">
        <f>IFERROR((ENTRI!C44)," ")</f>
        <v>04</v>
      </c>
      <c r="F44" s="219">
        <f t="shared" si="43"/>
        <v>39</v>
      </c>
      <c r="G44" s="219" t="str">
        <f>IFERROR((ENTRI!E44)," ")</f>
        <v>Guru</v>
      </c>
      <c r="H44" s="219" t="str">
        <f>IFERROR((ENTRI!F44)," ")</f>
        <v>01</v>
      </c>
      <c r="I44" s="219" t="str">
        <f>IFERROR((ENTRI!G44)," ")</f>
        <v xml:space="preserve">RARA RATNA WW, M.Pd</v>
      </c>
      <c r="J44" s="219" t="str">
        <f>IFERROR((ENTRI!H44)," ")</f>
        <v xml:space="preserve">19830205  200507 04 01 95</v>
      </c>
      <c r="K44" s="219" t="str">
        <f>IFERROR((ENTRI!I44)," ")</f>
        <v>Trenggalek</v>
      </c>
      <c r="L44" s="219" t="str">
        <f>IFERROR((ENTRI!J44)," ")</f>
        <v>05</v>
      </c>
      <c r="M44" s="219" t="str">
        <f>IFERROR((ENTRI!K44)," ")</f>
        <v>02</v>
      </c>
      <c r="N44" s="219">
        <f>IFERROR((ENTRI!L44)," ")</f>
        <v>1983</v>
      </c>
      <c r="O44" s="219" t="str">
        <f t="shared" si="44"/>
        <v xml:space="preserve">Trenggalek, 05-02-1983</v>
      </c>
      <c r="P44" s="219" t="str">
        <f>IFERROR((ENTRI!N44)," ")</f>
        <v>18</v>
      </c>
      <c r="Q44" s="219" t="str">
        <f>IFERROR((ENTRI!O44)," ")</f>
        <v>07</v>
      </c>
      <c r="R44" s="219">
        <f>IFERROR((ENTRI!P44)," ")</f>
        <v>2005</v>
      </c>
      <c r="S44" s="219" t="str">
        <f t="shared" si="45"/>
        <v>18-07-2005</v>
      </c>
      <c r="T44" s="219" t="str">
        <f>IFERROR((ENTRI!Q44)," ")</f>
        <v>18</v>
      </c>
      <c r="U44" s="219" t="str">
        <f>IFERROR((ENTRI!R44)," ")</f>
        <v>07</v>
      </c>
      <c r="V44" s="219">
        <f>IFERROR((ENTRI!S44)," ")</f>
        <v>2005</v>
      </c>
      <c r="W44" s="219" t="str">
        <f t="shared" si="46"/>
        <v>18-07-2005</v>
      </c>
      <c r="X44" s="219">
        <f>IFERROR((ENTRI!T44)," ")</f>
        <v>20</v>
      </c>
      <c r="Y44" s="219">
        <f>IFERROR((ENTRI!U44)," ")</f>
        <v>20</v>
      </c>
      <c r="Z44" s="219">
        <f>IFERROR((ENTRI!V44)," ")</f>
        <v>20</v>
      </c>
      <c r="AA44" s="219">
        <f>IFERROR((ENTRI!W44)," ")</f>
        <v>20</v>
      </c>
      <c r="AB44" s="219" t="str">
        <f>IFERROR((ENTRI!X44)," ")</f>
        <v>S2</v>
      </c>
      <c r="AC44" s="219" t="str">
        <f>IFERROR((ENTRI!Y44)," ")</f>
        <v xml:space="preserve">Pendidikan Bahasa Inggris</v>
      </c>
      <c r="AD44" s="219">
        <f>IFERROR((ENTRI!Z44)," ")</f>
        <v>2013</v>
      </c>
      <c r="AE44" s="219">
        <f>IFERROR((ENTRI!AA44)," ")</f>
        <v>0</v>
      </c>
      <c r="AF44" s="219">
        <f>IFERROR((ENTRI!AB44)," ")</f>
        <v>0</v>
      </c>
      <c r="AG44" s="219" t="str">
        <f>IFERROR((ENTRI!AC44)," ")</f>
        <v xml:space="preserve"> </v>
      </c>
      <c r="AH44" s="219">
        <f>IFERROR((ENTRI!AD44)," ")</f>
        <v>0</v>
      </c>
      <c r="AI44" s="219" t="str">
        <f>IFERROR((ENTRI!AE44)," ")</f>
        <v xml:space="preserve">Bahasa Inggris</v>
      </c>
      <c r="AJ44" s="219">
        <f>IFERROR((ENTRI!AF44)," ")</f>
        <v>25</v>
      </c>
      <c r="AK44" s="219" t="str">
        <f>IFERROR((ENTRI!AG44)," ")</f>
        <v>-</v>
      </c>
      <c r="AL44" s="219" t="str">
        <f>IFERROR((ENTRI!AH44)," ")</f>
        <v>-</v>
      </c>
      <c r="AM44" s="219" t="str">
        <f>IFERROR((ENTRI!AI44)," ")</f>
        <v xml:space="preserve"> </v>
      </c>
      <c r="AN44" s="219" t="str">
        <f>IFERROR((ENTRI!AJ44)," ")</f>
        <v>BELUM</v>
      </c>
      <c r="AO44" s="219">
        <f>IFERROR((ENTRI!AK44)," ")</f>
        <v>0</v>
      </c>
      <c r="AP44" s="219">
        <f>IFERROR((ENTRI!AL44)," ")</f>
        <v>0</v>
      </c>
      <c r="AQ44" s="219" t="str">
        <f>IFERROR((ENTRI!AM44)," ")</f>
        <v>2537761662110072</v>
      </c>
      <c r="AR44" s="216" t="str">
        <f>E44&amp;"."&amp;H44&amp;"."&amp;AW44&amp;"."&amp;ENTRI!$E$4</f>
        <v>04.01.037.2025</v>
      </c>
      <c r="AS44" t="str">
        <f>"YPP.QH/KP.01."&amp;E44&amp;"/"&amp;AW44&amp;"/"&amp;ENTRI!$E$4</f>
        <v>YPP.QH/KP.01.04/037/2025</v>
      </c>
      <c r="AW44" s="277" t="s">
        <v>932</v>
      </c>
    </row>
    <row r="45">
      <c r="A45">
        <f t="shared" si="47"/>
        <v>69</v>
      </c>
      <c r="B45" s="276">
        <f t="shared" si="42"/>
        <v>2003</v>
      </c>
      <c r="C45" s="277">
        <v>38</v>
      </c>
      <c r="D45" s="219" t="str">
        <f>IFERROR(IF(ENTRI!B45=$AZ$9,$BA$9,IF(ENTRI!B45=$AZ$10,$BA$10,IF(ENTRI!B45=$AZ$11,$BA$11,IF(ENTRI!B45=$AZ$12,$BA$12,IF(ENTRI!B45=$AZ$13,$BA$13,IF(ENTRI!B45=$AZ$14,$BA$14,IF(ENTRI!B45=$AZ$15,$BA$15,IF(ENTRI!B45=$AZ$16,$BA$16,IF(ENTRI!B45=$AZ$17,$BA$17,IF(ENTRI!B45=$AZ$18,$BA$18," "))))))))))," ")</f>
        <v xml:space="preserve">MTs Qomarul Hidayah</v>
      </c>
      <c r="E45" s="219" t="str">
        <f>IFERROR((ENTRI!C45)," ")</f>
        <v>04</v>
      </c>
      <c r="F45" s="219">
        <f t="shared" si="43"/>
        <v>69</v>
      </c>
      <c r="G45" s="219" t="str">
        <f>IFERROR((ENTRI!E45)," ")</f>
        <v>Guru</v>
      </c>
      <c r="H45" s="219" t="str">
        <f>IFERROR((ENTRI!F45)," ")</f>
        <v>01</v>
      </c>
      <c r="I45" s="219" t="str">
        <f>IFERROR((ENTRI!G45)," ")</f>
        <v xml:space="preserve">SILVIA NOFA ANGGRAINI, S.Pd.I</v>
      </c>
      <c r="J45" s="219" t="str">
        <f>IFERROR((ENTRI!H45)," ")</f>
        <v xml:space="preserve">19891126  201007 04 01 63</v>
      </c>
      <c r="K45" s="219" t="str">
        <f>IFERROR((ENTRI!I45)," ")</f>
        <v>Trenggalek</v>
      </c>
      <c r="L45" s="219">
        <f>IFERROR((ENTRI!J45)," ")</f>
        <v>26</v>
      </c>
      <c r="M45" s="219">
        <f>IFERROR((ENTRI!K45)," ")</f>
        <v>11</v>
      </c>
      <c r="N45" s="219">
        <f>IFERROR((ENTRI!L45)," ")</f>
        <v>1989</v>
      </c>
      <c r="O45" s="219" t="str">
        <f t="shared" si="44"/>
        <v xml:space="preserve">Trenggalek, 26-11-1989</v>
      </c>
      <c r="P45" s="219">
        <f>IFERROR((ENTRI!N45)," ")</f>
        <v>12</v>
      </c>
      <c r="Q45" s="219" t="str">
        <f>IFERROR((ENTRI!O45)," ")</f>
        <v>07</v>
      </c>
      <c r="R45" s="219">
        <f>IFERROR((ENTRI!P45)," ")</f>
        <v>2010</v>
      </c>
      <c r="S45" s="219" t="str">
        <f t="shared" si="45"/>
        <v>12-07-2010</v>
      </c>
      <c r="T45" s="219">
        <f>IFERROR((ENTRI!Q45)," ")</f>
        <v>12</v>
      </c>
      <c r="U45" s="219" t="str">
        <f>IFERROR((ENTRI!R45)," ")</f>
        <v>07</v>
      </c>
      <c r="V45" s="219">
        <f>IFERROR((ENTRI!S45)," ")</f>
        <v>2010</v>
      </c>
      <c r="W45" s="219" t="str">
        <f t="shared" si="46"/>
        <v>12-07-2010</v>
      </c>
      <c r="X45" s="219">
        <f>IFERROR((ENTRI!T45)," ")</f>
        <v>15</v>
      </c>
      <c r="Y45" s="219">
        <f>IFERROR((ENTRI!U45)," ")</f>
        <v>15</v>
      </c>
      <c r="Z45" s="219">
        <f>IFERROR((ENTRI!V45)," ")</f>
        <v>15</v>
      </c>
      <c r="AA45" s="219">
        <f>IFERROR((ENTRI!W45)," ")</f>
        <v>15</v>
      </c>
      <c r="AB45" s="219" t="str">
        <f>IFERROR((ENTRI!X45)," ")</f>
        <v>S1</v>
      </c>
      <c r="AC45" s="219" t="str">
        <f>IFERROR((ENTRI!Y45)," ")</f>
        <v xml:space="preserve">Tadris Matematika</v>
      </c>
      <c r="AD45" s="219">
        <f>IFERROR((ENTRI!Z45)," ")</f>
        <v>2011</v>
      </c>
      <c r="AE45" s="219" t="str">
        <f>IFERROR((ENTRI!AA45)," ")</f>
        <v>BELUM</v>
      </c>
      <c r="AF45" s="219">
        <f>IFERROR((ENTRI!AB45)," ")</f>
        <v>0</v>
      </c>
      <c r="AG45" s="219" t="str">
        <f>IFERROR((ENTRI!AC45)," ")</f>
        <v xml:space="preserve"> </v>
      </c>
      <c r="AH45" s="219">
        <f>IFERROR((ENTRI!AD45)," ")</f>
        <v>0</v>
      </c>
      <c r="AI45" s="219" t="str">
        <f>IFERROR((ENTRI!AE45)," ")</f>
        <v>Matematika</v>
      </c>
      <c r="AJ45" s="219">
        <f>IFERROR((ENTRI!AF45)," ")</f>
        <v>15</v>
      </c>
      <c r="AK45" s="219" t="str">
        <f>IFERROR((ENTRI!AG45)," ")</f>
        <v>-</v>
      </c>
      <c r="AL45" s="219" t="str">
        <f>IFERROR((ENTRI!AH45)," ")</f>
        <v>-</v>
      </c>
      <c r="AM45" s="219" t="str">
        <f>IFERROR((ENTRI!AI45)," ")</f>
        <v xml:space="preserve"> </v>
      </c>
      <c r="AN45" s="219" t="str">
        <f>IFERROR((ENTRI!AJ45)," ")</f>
        <v>BELUM</v>
      </c>
      <c r="AO45" s="219">
        <f>IFERROR((ENTRI!AK45)," ")</f>
        <v>0</v>
      </c>
      <c r="AP45" s="219">
        <f>IFERROR((ENTRI!AL45)," ")</f>
        <v>0</v>
      </c>
      <c r="AQ45" s="219" t="str">
        <f>IFERROR((ENTRI!AM45)," ")</f>
        <v>20542411189002</v>
      </c>
      <c r="AR45" s="216" t="str">
        <f>E45&amp;"."&amp;H45&amp;"."&amp;AW45&amp;"."&amp;ENTRI!$E$4</f>
        <v>04.01.038.2025</v>
      </c>
      <c r="AS45" t="str">
        <f>"YPP.QH/KP.01."&amp;E45&amp;"/"&amp;AW45&amp;"/"&amp;ENTRI!$E$4</f>
        <v>YPP.QH/KP.01.04/038/2025</v>
      </c>
      <c r="AW45" s="277" t="s">
        <v>933</v>
      </c>
    </row>
    <row r="46">
      <c r="A46">
        <f t="shared" si="47"/>
        <v>39</v>
      </c>
      <c r="B46" s="276">
        <f t="shared" si="42"/>
        <v>1998</v>
      </c>
      <c r="C46" s="277">
        <v>39</v>
      </c>
      <c r="D46" s="219" t="str">
        <f>IFERROR(IF(ENTRI!B46=$AZ$9,$BA$9,IF(ENTRI!B46=$AZ$10,$BA$10,IF(ENTRI!B46=$AZ$11,$BA$11,IF(ENTRI!B46=$AZ$12,$BA$12,IF(ENTRI!B46=$AZ$13,$BA$13,IF(ENTRI!B46=$AZ$14,$BA$14,IF(ENTRI!B46=$AZ$15,$BA$15,IF(ENTRI!B46=$AZ$16,$BA$16,IF(ENTRI!B46=$AZ$17,$BA$17,IF(ENTRI!B46=$AZ$18,$BA$18," "))))))))))," ")</f>
        <v xml:space="preserve">MTs Qomarul Hidayah</v>
      </c>
      <c r="E46" s="219" t="str">
        <f>IFERROR((ENTRI!C46)," ")</f>
        <v>04</v>
      </c>
      <c r="F46" s="219">
        <f t="shared" si="43"/>
        <v>39</v>
      </c>
      <c r="G46" s="219" t="str">
        <f>IFERROR((ENTRI!E46)," ")</f>
        <v xml:space="preserve">Tenaga Kependidikan</v>
      </c>
      <c r="H46" s="219" t="str">
        <f>IFERROR((ENTRI!F46)," ")</f>
        <v>02</v>
      </c>
      <c r="I46" s="219" t="str">
        <f>IFERROR((ENTRI!G46)," ")</f>
        <v>MUSRINGAH</v>
      </c>
      <c r="J46" s="219" t="str">
        <f>IFERROR((ENTRI!H46)," ")</f>
        <v xml:space="preserve">19600112  200507 04 02 95</v>
      </c>
      <c r="K46" s="219" t="str">
        <f>IFERROR((ENTRI!I46)," ")</f>
        <v>Trenggalek</v>
      </c>
      <c r="L46" s="219">
        <f>IFERROR((ENTRI!J46)," ")</f>
        <v>12</v>
      </c>
      <c r="M46" s="219" t="str">
        <f>IFERROR((ENTRI!K46)," ")</f>
        <v>01</v>
      </c>
      <c r="N46" s="219">
        <f>IFERROR((ENTRI!L46)," ")</f>
        <v>1960</v>
      </c>
      <c r="O46" s="219" t="str">
        <f t="shared" si="44"/>
        <v xml:space="preserve">Trenggalek, 12-01-1960</v>
      </c>
      <c r="P46" s="219" t="str">
        <f>IFERROR((ENTRI!N46)," ")</f>
        <v>01</v>
      </c>
      <c r="Q46" s="219" t="str">
        <f>IFERROR((ENTRI!O46)," ")</f>
        <v>07</v>
      </c>
      <c r="R46" s="219">
        <f>IFERROR((ENTRI!P46)," ")</f>
        <v>2005</v>
      </c>
      <c r="S46" s="219" t="str">
        <f t="shared" si="45"/>
        <v>01-07-2005</v>
      </c>
      <c r="T46" s="219" t="str">
        <f>IFERROR((ENTRI!Q46)," ")</f>
        <v>01</v>
      </c>
      <c r="U46" s="219" t="str">
        <f>IFERROR((ENTRI!R46)," ")</f>
        <v>07</v>
      </c>
      <c r="V46" s="219">
        <f>IFERROR((ENTRI!S46)," ")</f>
        <v>2005</v>
      </c>
      <c r="W46" s="219" t="str">
        <f t="shared" si="46"/>
        <v>01-07-2005</v>
      </c>
      <c r="X46" s="219">
        <f>IFERROR((ENTRI!T46)," ")</f>
        <v>20</v>
      </c>
      <c r="Y46" s="219">
        <f>IFERROR((ENTRI!U46)," ")</f>
        <v>20</v>
      </c>
      <c r="Z46" s="219">
        <f>IFERROR((ENTRI!V46)," ")</f>
        <v>20</v>
      </c>
      <c r="AA46" s="219">
        <f>IFERROR((ENTRI!W46)," ")</f>
        <v>20</v>
      </c>
      <c r="AB46" s="219" t="str">
        <f>IFERROR((ENTRI!X46)," ")</f>
        <v>SLTA</v>
      </c>
      <c r="AC46" s="219" t="str">
        <f>IFERROR((ENTRI!Y46)," ")</f>
        <v>SPG/PGTK/SD</v>
      </c>
      <c r="AD46" s="219">
        <f>IFERROR((ENTRI!Z46)," ")</f>
        <v>1979</v>
      </c>
      <c r="AE46" s="219" t="str">
        <f>IFERROR((ENTRI!AA46)," ")</f>
        <v>BELUM</v>
      </c>
      <c r="AF46" s="219">
        <f>IFERROR((ENTRI!AB46)," ")</f>
        <v>0</v>
      </c>
      <c r="AG46" s="219" t="str">
        <f>IFERROR((ENTRI!AC46)," ")</f>
        <v xml:space="preserve"> </v>
      </c>
      <c r="AH46" s="219">
        <f>IFERROR((ENTRI!AD46)," ")</f>
        <v>0</v>
      </c>
      <c r="AI46" s="219">
        <f>IFERROR((ENTRI!AE46)," ")</f>
        <v>0</v>
      </c>
      <c r="AJ46" s="219">
        <f>IFERROR((ENTRI!AF46)," ")</f>
        <v>0</v>
      </c>
      <c r="AK46" s="219" t="str">
        <f>IFERROR((ENTRI!AG46)," ")</f>
        <v>-</v>
      </c>
      <c r="AL46" s="219" t="str">
        <f>IFERROR((ENTRI!AH46)," ")</f>
        <v>-</v>
      </c>
      <c r="AM46" s="219" t="str">
        <f>IFERROR((ENTRI!AI46)," ")</f>
        <v xml:space="preserve"> </v>
      </c>
      <c r="AN46" s="219" t="str">
        <f>IFERROR((ENTRI!AJ46)," ")</f>
        <v>BELUM</v>
      </c>
      <c r="AO46" s="219">
        <f>IFERROR((ENTRI!AK46)," ")</f>
        <v>0</v>
      </c>
      <c r="AP46" s="219">
        <f>IFERROR((ENTRI!AL46)," ")</f>
        <v>0</v>
      </c>
      <c r="AQ46" s="219" t="str">
        <f>IFERROR((ENTRI!AM46)," ")</f>
        <v>3444738639300022</v>
      </c>
      <c r="AR46" s="216" t="str">
        <f>E46&amp;"."&amp;H46&amp;"."&amp;AW46&amp;"."&amp;ENTRI!$E$4</f>
        <v>04.02.039.2025</v>
      </c>
      <c r="AS46" t="str">
        <f>"YPP.QH/KP.01."&amp;E46&amp;"/"&amp;AW46&amp;"/"&amp;ENTRI!$E$4</f>
        <v>YPP.QH/KP.01.04/039/2025</v>
      </c>
      <c r="AW46" s="277" t="s">
        <v>934</v>
      </c>
    </row>
    <row r="47">
      <c r="A47">
        <f t="shared" si="47"/>
        <v>69</v>
      </c>
      <c r="B47" s="276">
        <f t="shared" si="42"/>
        <v>2003</v>
      </c>
      <c r="C47" s="277">
        <v>40</v>
      </c>
      <c r="D47" s="219" t="str">
        <f>IFERROR(IF(ENTRI!B47=$AZ$9,$BA$9,IF(ENTRI!B47=$AZ$10,$BA$10,IF(ENTRI!B47=$AZ$11,$BA$11,IF(ENTRI!B47=$AZ$12,$BA$12,IF(ENTRI!B47=$AZ$13,$BA$13,IF(ENTRI!B47=$AZ$14,$BA$14,IF(ENTRI!B47=$AZ$15,$BA$15,IF(ENTRI!B47=$AZ$16,$BA$16,IF(ENTRI!B47=$AZ$17,$BA$17,IF(ENTRI!B47=$AZ$18,$BA$18," "))))))))))," ")</f>
        <v xml:space="preserve">MTs Qomarul Hidayah</v>
      </c>
      <c r="E47" s="219" t="str">
        <f>IFERROR((ENTRI!C47)," ")</f>
        <v>04</v>
      </c>
      <c r="F47" s="219">
        <f t="shared" si="43"/>
        <v>69</v>
      </c>
      <c r="G47" s="219" t="str">
        <f>IFERROR((ENTRI!E47)," ")</f>
        <v>Guru</v>
      </c>
      <c r="H47" s="219" t="str">
        <f>IFERROR((ENTRI!F47)," ")</f>
        <v>01</v>
      </c>
      <c r="I47" s="219" t="str">
        <f>IFERROR((ENTRI!G47)," ")</f>
        <v xml:space="preserve">NORA INDAH WULANSARI, S.Pd</v>
      </c>
      <c r="J47" s="219" t="str">
        <f>IFERROR((ENTRI!H47)," ")</f>
        <v xml:space="preserve">19910420  201007 04 01 26</v>
      </c>
      <c r="K47" s="219" t="str">
        <f>IFERROR((ENTRI!I47)," ")</f>
        <v>Trenggalek</v>
      </c>
      <c r="L47" s="219">
        <f>IFERROR((ENTRI!J47)," ")</f>
        <v>20</v>
      </c>
      <c r="M47" s="219" t="str">
        <f>IFERROR((ENTRI!K47)," ")</f>
        <v>04</v>
      </c>
      <c r="N47" s="219">
        <f>IFERROR((ENTRI!L47)," ")</f>
        <v>1991</v>
      </c>
      <c r="O47" s="219" t="str">
        <f t="shared" si="44"/>
        <v xml:space="preserve">Trenggalek, 20-04-1991</v>
      </c>
      <c r="P47" s="219">
        <f>IFERROR((ENTRI!N47)," ")</f>
        <v>12</v>
      </c>
      <c r="Q47" s="219" t="str">
        <f>IFERROR((ENTRI!O47)," ")</f>
        <v>07</v>
      </c>
      <c r="R47" s="219">
        <f>IFERROR((ENTRI!P47)," ")</f>
        <v>2010</v>
      </c>
      <c r="S47" s="219" t="str">
        <f t="shared" si="45"/>
        <v>12-07-2010</v>
      </c>
      <c r="T47" s="219">
        <f>IFERROR((ENTRI!Q47)," ")</f>
        <v>12</v>
      </c>
      <c r="U47" s="219" t="str">
        <f>IFERROR((ENTRI!R47)," ")</f>
        <v>07</v>
      </c>
      <c r="V47" s="219">
        <f>IFERROR((ENTRI!S47)," ")</f>
        <v>2010</v>
      </c>
      <c r="W47" s="219" t="str">
        <f t="shared" si="46"/>
        <v>12-07-2010</v>
      </c>
      <c r="X47" s="219">
        <f>IFERROR((ENTRI!T47)," ")</f>
        <v>15</v>
      </c>
      <c r="Y47" s="219">
        <f>IFERROR((ENTRI!U47)," ")</f>
        <v>15</v>
      </c>
      <c r="Z47" s="219">
        <f>IFERROR((ENTRI!V47)," ")</f>
        <v>15</v>
      </c>
      <c r="AA47" s="219">
        <f>IFERROR((ENTRI!W47)," ")</f>
        <v>15</v>
      </c>
      <c r="AB47" s="219" t="str">
        <f>IFERROR((ENTRI!X47)," ")</f>
        <v>S1</v>
      </c>
      <c r="AC47" s="219" t="str">
        <f>IFERROR((ENTRI!Y47)," ")</f>
        <v xml:space="preserve">Pendidikan Bahasa Inggris </v>
      </c>
      <c r="AD47" s="219">
        <f>IFERROR((ENTRI!Z47)," ")</f>
        <v>0</v>
      </c>
      <c r="AE47" s="219">
        <f>IFERROR((ENTRI!AA47)," ")</f>
        <v>0</v>
      </c>
      <c r="AF47" s="219">
        <f>IFERROR((ENTRI!AB47)," ")</f>
        <v>0</v>
      </c>
      <c r="AG47" s="219" t="str">
        <f>IFERROR((ENTRI!AC47)," ")</f>
        <v xml:space="preserve"> </v>
      </c>
      <c r="AH47" s="219">
        <f>IFERROR((ENTRI!AD47)," ")</f>
        <v>0</v>
      </c>
      <c r="AI47" s="219">
        <f>IFERROR((ENTRI!AE47)," ")</f>
        <v>0</v>
      </c>
      <c r="AJ47" s="219">
        <f>IFERROR((ENTRI!AF47)," ")</f>
        <v>0</v>
      </c>
      <c r="AK47" s="219" t="str">
        <f>IFERROR((ENTRI!AG47)," ")</f>
        <v>-</v>
      </c>
      <c r="AL47" s="219" t="str">
        <f>IFERROR((ENTRI!AH47)," ")</f>
        <v>-</v>
      </c>
      <c r="AM47" s="219" t="str">
        <f>IFERROR((ENTRI!AI47)," ")</f>
        <v xml:space="preserve"> </v>
      </c>
      <c r="AN47" s="219" t="str">
        <f>IFERROR((ENTRI!AJ47)," ")</f>
        <v>BELUM</v>
      </c>
      <c r="AO47" s="219">
        <f>IFERROR((ENTRI!AK47)," ")</f>
        <v>0</v>
      </c>
      <c r="AP47" s="219">
        <f>IFERROR((ENTRI!AL47)," ")</f>
        <v>0</v>
      </c>
      <c r="AQ47" s="219" t="str">
        <f>IFERROR((ENTRI!AM47)," ")</f>
        <v>20542411191001</v>
      </c>
      <c r="AR47" s="216" t="str">
        <f>E47&amp;"."&amp;H47&amp;"."&amp;AW47&amp;"."&amp;ENTRI!$E$4</f>
        <v>04.01.040.2025</v>
      </c>
      <c r="AS47" t="str">
        <f>"YPP.QH/KP.01."&amp;E47&amp;"/"&amp;AW47&amp;"/"&amp;ENTRI!$E$4</f>
        <v>YPP.QH/KP.01.04/040/2025</v>
      </c>
      <c r="AW47" s="277" t="s">
        <v>935</v>
      </c>
    </row>
    <row r="48">
      <c r="A48">
        <f t="shared" si="47"/>
        <v>95</v>
      </c>
      <c r="B48" s="276">
        <f t="shared" si="42"/>
        <v>2007</v>
      </c>
      <c r="C48" s="277">
        <v>41</v>
      </c>
      <c r="D48" s="219" t="str">
        <f>IFERROR(IF(ENTRI!B48=$AZ$9,$BA$9,IF(ENTRI!B48=$AZ$10,$BA$10,IF(ENTRI!B48=$AZ$11,$BA$11,IF(ENTRI!B48=$AZ$12,$BA$12,IF(ENTRI!B48=$AZ$13,$BA$13,IF(ENTRI!B48=$AZ$14,$BA$14,IF(ENTRI!B48=$AZ$15,$BA$15,IF(ENTRI!B48=$AZ$16,$BA$16,IF(ENTRI!B48=$AZ$17,$BA$17,IF(ENTRI!B48=$AZ$18,$BA$18," "))))))))))," ")</f>
        <v xml:space="preserve">MTs Qomarul Hidayah</v>
      </c>
      <c r="E48" s="219" t="str">
        <f>IFERROR((ENTRI!C48)," ")</f>
        <v>04</v>
      </c>
      <c r="F48" s="219">
        <f t="shared" si="43"/>
        <v>95</v>
      </c>
      <c r="G48" s="219" t="str">
        <f>IFERROR((ENTRI!E48)," ")</f>
        <v>Guru</v>
      </c>
      <c r="H48" s="219" t="str">
        <f>IFERROR((ENTRI!F48)," ")</f>
        <v>01</v>
      </c>
      <c r="I48" s="219" t="str">
        <f>IFERROR((ENTRI!G48)," ")</f>
        <v xml:space="preserve">NUR IKHSAN, S.Pd</v>
      </c>
      <c r="J48" s="219" t="str">
        <f>IFERROR((ENTRI!H48)," ")</f>
        <v xml:space="preserve">19960110  201407 04 01 </v>
      </c>
      <c r="K48" s="219" t="str">
        <f>IFERROR((ENTRI!I48)," ")</f>
        <v>Trenggalek</v>
      </c>
      <c r="L48" s="219">
        <f>IFERROR((ENTRI!J48)," ")</f>
        <v>10</v>
      </c>
      <c r="M48" s="219" t="str">
        <f>IFERROR((ENTRI!K48)," ")</f>
        <v>01</v>
      </c>
      <c r="N48" s="219">
        <f>IFERROR((ENTRI!L48)," ")</f>
        <v>1996</v>
      </c>
      <c r="O48" s="219" t="str">
        <f t="shared" si="44"/>
        <v xml:space="preserve">Trenggalek, 10-01-1996</v>
      </c>
      <c r="P48" s="219" t="str">
        <f>IFERROR((ENTRI!N48)," ")</f>
        <v>01</v>
      </c>
      <c r="Q48" s="219" t="str">
        <f>IFERROR((ENTRI!O48)," ")</f>
        <v>07</v>
      </c>
      <c r="R48" s="219">
        <f>IFERROR((ENTRI!P48)," ")</f>
        <v>2014</v>
      </c>
      <c r="S48" s="219" t="str">
        <f t="shared" si="45"/>
        <v>01-07-2014</v>
      </c>
      <c r="T48" s="219" t="str">
        <f>IFERROR((ENTRI!Q48)," ")</f>
        <v>01</v>
      </c>
      <c r="U48" s="219" t="str">
        <f>IFERROR((ENTRI!R48)," ")</f>
        <v>07</v>
      </c>
      <c r="V48" s="219">
        <f>IFERROR((ENTRI!S48)," ")</f>
        <v>2014</v>
      </c>
      <c r="W48" s="219" t="str">
        <f t="shared" si="46"/>
        <v>01-07-2014</v>
      </c>
      <c r="X48" s="219">
        <f>IFERROR((ENTRI!T48)," ")</f>
        <v>11</v>
      </c>
      <c r="Y48" s="219">
        <f>IFERROR((ENTRI!U48)," ")</f>
        <v>11</v>
      </c>
      <c r="Z48" s="219">
        <f>IFERROR((ENTRI!V48)," ")</f>
        <v>11</v>
      </c>
      <c r="AA48" s="219">
        <f>IFERROR((ENTRI!W48)," ")</f>
        <v>11</v>
      </c>
      <c r="AB48" s="219" t="str">
        <f>IFERROR((ENTRI!X48)," ")</f>
        <v>S1</v>
      </c>
      <c r="AC48" s="219" t="str">
        <f>IFERROR((ENTRI!Y48)," ")</f>
        <v xml:space="preserve">Pendidikan Agama Islam</v>
      </c>
      <c r="AD48" s="219">
        <f>IFERROR((ENTRI!Z48)," ")</f>
        <v>2018</v>
      </c>
      <c r="AE48" s="219" t="str">
        <f>IFERROR((ENTRI!AA48)," ")</f>
        <v>BELUM</v>
      </c>
      <c r="AF48" s="219">
        <f>IFERROR((ENTRI!AB48)," ")</f>
        <v>0</v>
      </c>
      <c r="AG48" s="219" t="str">
        <f>IFERROR((ENTRI!AC48)," ")</f>
        <v xml:space="preserve"> </v>
      </c>
      <c r="AH48" s="219">
        <f>IFERROR((ENTRI!AD48)," ")</f>
        <v>0</v>
      </c>
      <c r="AI48" s="219">
        <f>IFERROR((ENTRI!AE48)," ")</f>
        <v>0</v>
      </c>
      <c r="AJ48" s="219">
        <f>IFERROR((ENTRI!AF48)," ")</f>
        <v>0</v>
      </c>
      <c r="AK48" s="219" t="str">
        <f>IFERROR((ENTRI!AG48)," ")</f>
        <v>-</v>
      </c>
      <c r="AL48" s="219" t="str">
        <f>IFERROR((ENTRI!AH48)," ")</f>
        <v>-</v>
      </c>
      <c r="AM48" s="219" t="str">
        <f>IFERROR((ENTRI!AI48)," ")</f>
        <v xml:space="preserve"> </v>
      </c>
      <c r="AN48" s="219" t="str">
        <f>IFERROR((ENTRI!AJ48)," ")</f>
        <v>BELUM</v>
      </c>
      <c r="AO48" s="219">
        <f>IFERROR((ENTRI!AK48)," ")</f>
        <v>0</v>
      </c>
      <c r="AP48" s="219">
        <f>IFERROR((ENTRI!AL48)," ")</f>
        <v>0</v>
      </c>
      <c r="AQ48" s="219">
        <f>IFERROR((ENTRI!AM48)," ")</f>
        <v>0</v>
      </c>
      <c r="AR48" s="216" t="str">
        <f>E48&amp;"."&amp;H48&amp;"."&amp;AW48&amp;"."&amp;ENTRI!$E$4</f>
        <v>04.01.041.2025</v>
      </c>
      <c r="AS48" t="str">
        <f>"YPP.QH/KP.01."&amp;E48&amp;"/"&amp;AW48&amp;"/"&amp;ENTRI!$E$4</f>
        <v>YPP.QH/KP.01.04/041/2025</v>
      </c>
      <c r="AW48" s="277" t="s">
        <v>936</v>
      </c>
    </row>
    <row r="49">
      <c r="A49">
        <f t="shared" si="47"/>
        <v>95</v>
      </c>
      <c r="B49" s="276">
        <f t="shared" si="42"/>
        <v>2007</v>
      </c>
      <c r="C49" s="277">
        <v>42</v>
      </c>
      <c r="D49" s="219" t="str">
        <f>IFERROR(IF(ENTRI!B49=$AZ$9,$BA$9,IF(ENTRI!B49=$AZ$10,$BA$10,IF(ENTRI!B49=$AZ$11,$BA$11,IF(ENTRI!B49=$AZ$12,$BA$12,IF(ENTRI!B49=$AZ$13,$BA$13,IF(ENTRI!B49=$AZ$14,$BA$14,IF(ENTRI!B49=$AZ$15,$BA$15,IF(ENTRI!B49=$AZ$16,$BA$16,IF(ENTRI!B49=$AZ$17,$BA$17,IF(ENTRI!B49=$AZ$18,$BA$18," "))))))))))," ")</f>
        <v xml:space="preserve">MTs Qomarul Hidayah</v>
      </c>
      <c r="E49" s="219" t="str">
        <f>IFERROR((ENTRI!C49)," ")</f>
        <v>04</v>
      </c>
      <c r="F49" s="219">
        <f t="shared" si="43"/>
        <v>95</v>
      </c>
      <c r="G49" s="219" t="str">
        <f>IFERROR((ENTRI!E49)," ")</f>
        <v>Guru</v>
      </c>
      <c r="H49" s="219" t="str">
        <f>IFERROR((ENTRI!F49)," ")</f>
        <v>01</v>
      </c>
      <c r="I49" s="219" t="str">
        <f>IFERROR((ENTRI!G49)," ")</f>
        <v xml:space="preserve">INTAN AYU LESTARI SIWI NAINGGOLAN,S.Pd</v>
      </c>
      <c r="J49" s="219" t="str">
        <f>IFERROR((ENTRI!H49)," ")</f>
        <v xml:space="preserve">19950407  201407 04 01 82</v>
      </c>
      <c r="K49" s="219" t="str">
        <f>IFERROR((ENTRI!I49)," ")</f>
        <v>Trenggalek</v>
      </c>
      <c r="L49" s="219" t="str">
        <f>IFERROR((ENTRI!J49)," ")</f>
        <v>07</v>
      </c>
      <c r="M49" s="219" t="str">
        <f>IFERROR((ENTRI!K49)," ")</f>
        <v>04</v>
      </c>
      <c r="N49" s="219">
        <f>IFERROR((ENTRI!L49)," ")</f>
        <v>1995</v>
      </c>
      <c r="O49" s="219" t="str">
        <f t="shared" si="44"/>
        <v xml:space="preserve">Trenggalek, 07-04-1995</v>
      </c>
      <c r="P49" s="219" t="str">
        <f>IFERROR((ENTRI!N49)," ")</f>
        <v>01</v>
      </c>
      <c r="Q49" s="219" t="str">
        <f>IFERROR((ENTRI!O49)," ")</f>
        <v>07</v>
      </c>
      <c r="R49" s="219">
        <f>IFERROR((ENTRI!P49)," ")</f>
        <v>2014</v>
      </c>
      <c r="S49" s="219" t="str">
        <f t="shared" si="45"/>
        <v>01-07-2014</v>
      </c>
      <c r="T49" s="219" t="str">
        <f>IFERROR((ENTRI!Q49)," ")</f>
        <v>01</v>
      </c>
      <c r="U49" s="219" t="str">
        <f>IFERROR((ENTRI!R49)," ")</f>
        <v>07</v>
      </c>
      <c r="V49" s="219">
        <f>IFERROR((ENTRI!S49)," ")</f>
        <v>2014</v>
      </c>
      <c r="W49" s="219" t="str">
        <f t="shared" si="46"/>
        <v>01-07-2014</v>
      </c>
      <c r="X49" s="219">
        <f>IFERROR((ENTRI!T49)," ")</f>
        <v>11</v>
      </c>
      <c r="Y49" s="219">
        <f>IFERROR((ENTRI!U49)," ")</f>
        <v>11</v>
      </c>
      <c r="Z49" s="219">
        <f>IFERROR((ENTRI!V49)," ")</f>
        <v>11</v>
      </c>
      <c r="AA49" s="219">
        <f>IFERROR((ENTRI!W49)," ")</f>
        <v>11</v>
      </c>
      <c r="AB49" s="219" t="str">
        <f>IFERROR((ENTRI!X49)," ")</f>
        <v>S1</v>
      </c>
      <c r="AC49" s="219" t="str">
        <f>IFERROR((ENTRI!Y49)," ")</f>
        <v>PGSD</v>
      </c>
      <c r="AD49" s="219">
        <f>IFERROR((ENTRI!Z49)," ")</f>
        <v>2017</v>
      </c>
      <c r="AE49" s="219" t="str">
        <f>IFERROR((ENTRI!AA49)," ")</f>
        <v>BELUM</v>
      </c>
      <c r="AF49" s="219">
        <f>IFERROR((ENTRI!AB49)," ")</f>
        <v>0</v>
      </c>
      <c r="AG49" s="219" t="str">
        <f>IFERROR((ENTRI!AC49)," ")</f>
        <v xml:space="preserve"> </v>
      </c>
      <c r="AH49" s="219">
        <f>IFERROR((ENTRI!AD49)," ")</f>
        <v>0</v>
      </c>
      <c r="AI49" s="219">
        <f>IFERROR((ENTRI!AE49)," ")</f>
        <v>0</v>
      </c>
      <c r="AJ49" s="219">
        <f>IFERROR((ENTRI!AF49)," ")</f>
        <v>0</v>
      </c>
      <c r="AK49" s="219" t="str">
        <f>IFERROR((ENTRI!AG49)," ")</f>
        <v>-</v>
      </c>
      <c r="AL49" s="219" t="str">
        <f>IFERROR((ENTRI!AH49)," ")</f>
        <v>-</v>
      </c>
      <c r="AM49" s="219" t="str">
        <f>IFERROR((ENTRI!AI49)," ")</f>
        <v xml:space="preserve"> </v>
      </c>
      <c r="AN49" s="219" t="str">
        <f>IFERROR((ENTRI!AJ49)," ")</f>
        <v>BELUM</v>
      </c>
      <c r="AO49" s="219">
        <f>IFERROR((ENTRI!AK49)," ")</f>
        <v>0</v>
      </c>
      <c r="AP49" s="219">
        <f>IFERROR((ENTRI!AL49)," ")</f>
        <v>0</v>
      </c>
      <c r="AQ49" s="219">
        <f>IFERROR((ENTRI!AM49)," ")</f>
        <v>0</v>
      </c>
      <c r="AR49" s="216" t="str">
        <f>E49&amp;"."&amp;H49&amp;"."&amp;AW49&amp;"."&amp;ENTRI!$E$4</f>
        <v>04.01.042.2025</v>
      </c>
      <c r="AS49" t="str">
        <f>"YPP.QH/KP.01."&amp;E49&amp;"/"&amp;AW49&amp;"/"&amp;ENTRI!$E$4</f>
        <v>YPP.QH/KP.01.04/042/2025</v>
      </c>
      <c r="AW49" s="277" t="s">
        <v>937</v>
      </c>
    </row>
    <row r="50">
      <c r="A50">
        <f t="shared" si="47"/>
        <v>95</v>
      </c>
      <c r="B50" s="276">
        <f t="shared" si="42"/>
        <v>2007</v>
      </c>
      <c r="C50" s="277">
        <v>43</v>
      </c>
      <c r="D50" s="219" t="str">
        <f>IFERROR(IF(ENTRI!B50=$AZ$9,$BA$9,IF(ENTRI!B50=$AZ$10,$BA$10,IF(ENTRI!B50=$AZ$11,$BA$11,IF(ENTRI!B50=$AZ$12,$BA$12,IF(ENTRI!B50=$AZ$13,$BA$13,IF(ENTRI!B50=$AZ$14,$BA$14,IF(ENTRI!B50=$AZ$15,$BA$15,IF(ENTRI!B50=$AZ$16,$BA$16,IF(ENTRI!B50=$AZ$17,$BA$17,IF(ENTRI!B50=$AZ$18,$BA$18," "))))))))))," ")</f>
        <v xml:space="preserve">MTs Qomarul Hidayah</v>
      </c>
      <c r="E50" s="219" t="str">
        <f>IFERROR((ENTRI!C50)," ")</f>
        <v>04</v>
      </c>
      <c r="F50" s="219">
        <f t="shared" si="43"/>
        <v>95</v>
      </c>
      <c r="G50" s="219" t="str">
        <f>IFERROR((ENTRI!E50)," ")</f>
        <v>Guru</v>
      </c>
      <c r="H50" s="219" t="str">
        <f>IFERROR((ENTRI!F50)," ")</f>
        <v>01</v>
      </c>
      <c r="I50" s="219" t="str">
        <f>IFERROR((ENTRI!G50)," ")</f>
        <v xml:space="preserve">IMAM MUBAROK,S.Pd</v>
      </c>
      <c r="J50" s="219" t="str">
        <f>IFERROR((ENTRI!H50)," ")</f>
        <v xml:space="preserve">19920219  201407 04 01 </v>
      </c>
      <c r="K50" s="219" t="str">
        <f>IFERROR((ENTRI!I50)," ")</f>
        <v>Trenggalek</v>
      </c>
      <c r="L50" s="219">
        <f>IFERROR((ENTRI!J50)," ")</f>
        <v>19</v>
      </c>
      <c r="M50" s="219" t="str">
        <f>IFERROR((ENTRI!K50)," ")</f>
        <v>02</v>
      </c>
      <c r="N50" s="219">
        <f>IFERROR((ENTRI!L50)," ")</f>
        <v>1992</v>
      </c>
      <c r="O50" s="219" t="str">
        <f t="shared" si="44"/>
        <v xml:space="preserve">Trenggalek, 19-02-1992</v>
      </c>
      <c r="P50" s="219" t="str">
        <f>IFERROR((ENTRI!N50)," ")</f>
        <v>01</v>
      </c>
      <c r="Q50" s="219" t="str">
        <f>IFERROR((ENTRI!O50)," ")</f>
        <v>07</v>
      </c>
      <c r="R50" s="219">
        <f>IFERROR((ENTRI!P50)," ")</f>
        <v>2014</v>
      </c>
      <c r="S50" s="219" t="str">
        <f t="shared" si="45"/>
        <v>01-07-2014</v>
      </c>
      <c r="T50" s="219" t="str">
        <f>IFERROR((ENTRI!Q50)," ")</f>
        <v>01</v>
      </c>
      <c r="U50" s="219" t="str">
        <f>IFERROR((ENTRI!R50)," ")</f>
        <v>07</v>
      </c>
      <c r="V50" s="219">
        <f>IFERROR((ENTRI!S50)," ")</f>
        <v>2014</v>
      </c>
      <c r="W50" s="219" t="str">
        <f t="shared" si="46"/>
        <v>01-07-2014</v>
      </c>
      <c r="X50" s="219">
        <f>IFERROR((ENTRI!T50)," ")</f>
        <v>11</v>
      </c>
      <c r="Y50" s="219">
        <f>IFERROR((ENTRI!U50)," ")</f>
        <v>11</v>
      </c>
      <c r="Z50" s="219">
        <f>IFERROR((ENTRI!V50)," ")</f>
        <v>11</v>
      </c>
      <c r="AA50" s="219">
        <f>IFERROR((ENTRI!W50)," ")</f>
        <v>11</v>
      </c>
      <c r="AB50" s="219" t="str">
        <f>IFERROR((ENTRI!X50)," ")</f>
        <v>S1</v>
      </c>
      <c r="AC50" s="219" t="str">
        <f>IFERROR((ENTRI!Y50)," ")</f>
        <v xml:space="preserve">Bimbingan Konseling </v>
      </c>
      <c r="AD50" s="219">
        <f>IFERROR((ENTRI!Z50)," ")</f>
        <v>0</v>
      </c>
      <c r="AE50" s="219" t="str">
        <f>IFERROR((ENTRI!AA50)," ")</f>
        <v>BELUM</v>
      </c>
      <c r="AF50" s="219">
        <f>IFERROR((ENTRI!AB50)," ")</f>
        <v>0</v>
      </c>
      <c r="AG50" s="219" t="str">
        <f>IFERROR((ENTRI!AC50)," ")</f>
        <v xml:space="preserve"> </v>
      </c>
      <c r="AH50" s="219">
        <f>IFERROR((ENTRI!AD50)," ")</f>
        <v>0</v>
      </c>
      <c r="AI50" s="219">
        <f>IFERROR((ENTRI!AE50)," ")</f>
        <v>0</v>
      </c>
      <c r="AJ50" s="219">
        <f>IFERROR((ENTRI!AF50)," ")</f>
        <v>0</v>
      </c>
      <c r="AK50" s="219" t="str">
        <f>IFERROR((ENTRI!AG50)," ")</f>
        <v>-</v>
      </c>
      <c r="AL50" s="219" t="str">
        <f>IFERROR((ENTRI!AH50)," ")</f>
        <v>-</v>
      </c>
      <c r="AM50" s="219" t="str">
        <f>IFERROR((ENTRI!AI50)," ")</f>
        <v xml:space="preserve"> </v>
      </c>
      <c r="AN50" s="219" t="str">
        <f>IFERROR((ENTRI!AJ50)," ")</f>
        <v>BELUM</v>
      </c>
      <c r="AO50" s="219">
        <f>IFERROR((ENTRI!AK50)," ")</f>
        <v>0</v>
      </c>
      <c r="AP50" s="219">
        <f>IFERROR((ENTRI!AL50)," ")</f>
        <v>0</v>
      </c>
      <c r="AQ50" s="219">
        <f>IFERROR((ENTRI!AM50)," ")</f>
        <v>0</v>
      </c>
      <c r="AR50" s="216" t="str">
        <f>E50&amp;"."&amp;H50&amp;"."&amp;AW50&amp;"."&amp;ENTRI!$E$4</f>
        <v>04.01.043.2025</v>
      </c>
      <c r="AS50" t="str">
        <f>"YPP.QH/KP.01."&amp;E50&amp;"/"&amp;AW50&amp;"/"&amp;ENTRI!$E$4</f>
        <v>YPP.QH/KP.01.04/043/2025</v>
      </c>
      <c r="AW50" s="277" t="s">
        <v>938</v>
      </c>
    </row>
    <row r="51">
      <c r="A51">
        <f t="shared" si="47"/>
        <v>109</v>
      </c>
      <c r="B51" s="276">
        <f t="shared" si="42"/>
        <v>2011</v>
      </c>
      <c r="C51" s="277">
        <v>44</v>
      </c>
      <c r="D51" s="219" t="str">
        <f>IFERROR(IF(ENTRI!B51=$AZ$9,$BA$9,IF(ENTRI!B51=$AZ$10,$BA$10,IF(ENTRI!B51=$AZ$11,$BA$11,IF(ENTRI!B51=$AZ$12,$BA$12,IF(ENTRI!B51=$AZ$13,$BA$13,IF(ENTRI!B51=$AZ$14,$BA$14,IF(ENTRI!B51=$AZ$15,$BA$15,IF(ENTRI!B51=$AZ$16,$BA$16,IF(ENTRI!B51=$AZ$17,$BA$17,IF(ENTRI!B51=$AZ$18,$BA$18," "))))))))))," ")</f>
        <v xml:space="preserve">MTs Qomarul Hidayah</v>
      </c>
      <c r="E51" s="219" t="str">
        <f>IFERROR((ENTRI!C51)," ")</f>
        <v>04</v>
      </c>
      <c r="F51" s="219">
        <f t="shared" si="43"/>
        <v>109</v>
      </c>
      <c r="G51" s="219" t="str">
        <f>IFERROR((ENTRI!E51)," ")</f>
        <v>Guru</v>
      </c>
      <c r="H51" s="219" t="str">
        <f>IFERROR((ENTRI!F51)," ")</f>
        <v>01</v>
      </c>
      <c r="I51" s="219" t="str">
        <f>IFERROR((ENTRI!G51)," ")</f>
        <v xml:space="preserve">SUCI MAYASARI, S.Pd</v>
      </c>
      <c r="J51" s="219" t="str">
        <f>IFERROR((ENTRI!H51)," ")</f>
        <v xml:space="preserve">19910525  201807 04 01 61</v>
      </c>
      <c r="K51" s="219" t="str">
        <f>IFERROR((ENTRI!I51)," ")</f>
        <v>Trenggalek</v>
      </c>
      <c r="L51" s="219">
        <f>IFERROR((ENTRI!J51)," ")</f>
        <v>25</v>
      </c>
      <c r="M51" s="219" t="str">
        <f>IFERROR((ENTRI!K51)," ")</f>
        <v>05</v>
      </c>
      <c r="N51" s="219">
        <f>IFERROR((ENTRI!L51)," ")</f>
        <v>1991</v>
      </c>
      <c r="O51" s="219" t="str">
        <f t="shared" si="44"/>
        <v xml:space="preserve">Trenggalek, 25-05-1991</v>
      </c>
      <c r="P51" s="219" t="str">
        <f>IFERROR((ENTRI!N51)," ")</f>
        <v>16</v>
      </c>
      <c r="Q51" s="219" t="str">
        <f>IFERROR((ENTRI!O51)," ")</f>
        <v>07</v>
      </c>
      <c r="R51" s="219">
        <f>IFERROR((ENTRI!P51)," ")</f>
        <v>2018</v>
      </c>
      <c r="S51" s="219" t="str">
        <f t="shared" si="45"/>
        <v>16-07-2018</v>
      </c>
      <c r="T51" s="219" t="str">
        <f>IFERROR((ENTRI!Q51)," ")</f>
        <v>16</v>
      </c>
      <c r="U51" s="219" t="str">
        <f>IFERROR((ENTRI!R51)," ")</f>
        <v>07</v>
      </c>
      <c r="V51" s="219">
        <f>IFERROR((ENTRI!S51)," ")</f>
        <v>2018</v>
      </c>
      <c r="W51" s="219" t="str">
        <f t="shared" si="46"/>
        <v>16-07-2018</v>
      </c>
      <c r="X51" s="219">
        <f>IFERROR((ENTRI!T51)," ")</f>
        <v>7</v>
      </c>
      <c r="Y51" s="219">
        <f>IFERROR((ENTRI!U51)," ")</f>
        <v>7</v>
      </c>
      <c r="Z51" s="219">
        <f>IFERROR((ENTRI!V51)," ")</f>
        <v>7</v>
      </c>
      <c r="AA51" s="219">
        <f>IFERROR((ENTRI!W51)," ")</f>
        <v>7</v>
      </c>
      <c r="AB51" s="219" t="str">
        <f>IFERROR((ENTRI!X51)," ")</f>
        <v>S1</v>
      </c>
      <c r="AC51" s="219" t="str">
        <f>IFERROR((ENTRI!Y51)," ")</f>
        <v xml:space="preserve">Pendidikan Matematika</v>
      </c>
      <c r="AD51" s="219">
        <f>IFERROR((ENTRI!Z51)," ")</f>
        <v>0</v>
      </c>
      <c r="AE51" s="219" t="str">
        <f>IFERROR((ENTRI!AA51)," ")</f>
        <v>BELUM</v>
      </c>
      <c r="AF51" s="219">
        <f>IFERROR((ENTRI!AB51)," ")</f>
        <v>0</v>
      </c>
      <c r="AG51" s="219" t="str">
        <f>IFERROR((ENTRI!AC51)," ")</f>
        <v xml:space="preserve"> </v>
      </c>
      <c r="AH51" s="219">
        <f>IFERROR((ENTRI!AD51)," ")</f>
        <v>0</v>
      </c>
      <c r="AI51" s="219">
        <f>IFERROR((ENTRI!AE51)," ")</f>
        <v>0</v>
      </c>
      <c r="AJ51" s="219">
        <f>IFERROR((ENTRI!AF51)," ")</f>
        <v>0</v>
      </c>
      <c r="AK51" s="219" t="str">
        <f>IFERROR((ENTRI!AG51)," ")</f>
        <v>-</v>
      </c>
      <c r="AL51" s="219" t="str">
        <f>IFERROR((ENTRI!AH51)," ")</f>
        <v>-</v>
      </c>
      <c r="AM51" s="219" t="str">
        <f>IFERROR((ENTRI!AI51)," ")</f>
        <v xml:space="preserve"> </v>
      </c>
      <c r="AN51" s="219" t="str">
        <f>IFERROR((ENTRI!AJ51)," ")</f>
        <v>BELUM</v>
      </c>
      <c r="AO51" s="219">
        <f>IFERROR((ENTRI!AK51)," ")</f>
        <v>0</v>
      </c>
      <c r="AP51" s="219">
        <f>IFERROR((ENTRI!AL51)," ")</f>
        <v>0</v>
      </c>
      <c r="AQ51" s="219">
        <f>IFERROR((ENTRI!AM51)," ")</f>
        <v>0</v>
      </c>
      <c r="AR51" s="216" t="str">
        <f>E51&amp;"."&amp;H51&amp;"."&amp;AW51&amp;"."&amp;ENTRI!$E$4</f>
        <v>04.01.044.2025</v>
      </c>
      <c r="AS51" t="str">
        <f>"YPP.QH/KP.01."&amp;E51&amp;"/"&amp;AW51&amp;"/"&amp;ENTRI!$E$4</f>
        <v>YPP.QH/KP.01.04/044/2025</v>
      </c>
      <c r="AW51" s="277" t="s">
        <v>939</v>
      </c>
    </row>
    <row r="52">
      <c r="A52">
        <f t="shared" si="47"/>
        <v>24</v>
      </c>
      <c r="B52" s="276">
        <f t="shared" si="42"/>
        <v>1995</v>
      </c>
      <c r="C52" s="277">
        <v>45</v>
      </c>
      <c r="D52" s="219" t="str">
        <f>IFERROR(IF(ENTRI!B52=$AZ$9,$BA$9,IF(ENTRI!B52=$AZ$10,$BA$10,IF(ENTRI!B52=$AZ$11,$BA$11,IF(ENTRI!B52=$AZ$12,$BA$12,IF(ENTRI!B52=$AZ$13,$BA$13,IF(ENTRI!B52=$AZ$14,$BA$14,IF(ENTRI!B52=$AZ$15,$BA$15,IF(ENTRI!B52=$AZ$16,$BA$16,IF(ENTRI!B52=$AZ$17,$BA$17,IF(ENTRI!B52=$AZ$18,$BA$18," "))))))))))," ")</f>
        <v xml:space="preserve">SMK Qomarul Hidayah 1 Tugu</v>
      </c>
      <c r="E52" s="219" t="str">
        <f>IFERROR((ENTRI!C52)," ")</f>
        <v>06</v>
      </c>
      <c r="F52" s="219">
        <f t="shared" si="43"/>
        <v>24</v>
      </c>
      <c r="G52" s="219" t="str">
        <f>IFERROR((ENTRI!E52)," ")</f>
        <v>Guru</v>
      </c>
      <c r="H52" s="219" t="str">
        <f>IFERROR((ENTRI!F52)," ")</f>
        <v>01</v>
      </c>
      <c r="I52" s="219" t="str">
        <f>IFERROR((ENTRI!G52)," ")</f>
        <v xml:space="preserve">H.M.BISYRI AFANDI, S.Pd.I</v>
      </c>
      <c r="J52" s="219" t="str">
        <f>IFERROR((ENTRI!H52)," ")</f>
        <v xml:space="preserve">19640202  200207 06 01 72</v>
      </c>
      <c r="K52" s="219" t="str">
        <f>IFERROR((ENTRI!I52)," ")</f>
        <v>Trenggalek</v>
      </c>
      <c r="L52" s="219" t="str">
        <f>IFERROR((ENTRI!J52)," ")</f>
        <v>02</v>
      </c>
      <c r="M52" s="219" t="str">
        <f>IFERROR((ENTRI!K52)," ")</f>
        <v>02</v>
      </c>
      <c r="N52" s="219">
        <f>IFERROR((ENTRI!L52)," ")</f>
        <v>1964</v>
      </c>
      <c r="O52" s="219" t="str">
        <f t="shared" si="44"/>
        <v xml:space="preserve">Trenggalek, 02-02-1964</v>
      </c>
      <c r="P52" s="219" t="str">
        <f>IFERROR((ENTRI!N52)," ")</f>
        <v>01</v>
      </c>
      <c r="Q52" s="219" t="str">
        <f>IFERROR((ENTRI!O52)," ")</f>
        <v>07</v>
      </c>
      <c r="R52" s="219">
        <f>IFERROR((ENTRI!P52)," ")</f>
        <v>2002</v>
      </c>
      <c r="S52" s="219" t="str">
        <f t="shared" si="45"/>
        <v>01-07-2002</v>
      </c>
      <c r="T52" s="219" t="str">
        <f>IFERROR((ENTRI!Q52)," ")</f>
        <v>01</v>
      </c>
      <c r="U52" s="219" t="str">
        <f>IFERROR((ENTRI!R52)," ")</f>
        <v>07</v>
      </c>
      <c r="V52" s="219">
        <f>IFERROR((ENTRI!S52)," ")</f>
        <v>2002</v>
      </c>
      <c r="W52" s="219" t="str">
        <f t="shared" si="46"/>
        <v>01-07-2002</v>
      </c>
      <c r="X52" s="219">
        <f>IFERROR((ENTRI!T52)," ")</f>
        <v>23</v>
      </c>
      <c r="Y52" s="219">
        <f>IFERROR((ENTRI!U52)," ")</f>
        <v>23</v>
      </c>
      <c r="Z52" s="219">
        <f>IFERROR((ENTRI!V52)," ")</f>
        <v>23</v>
      </c>
      <c r="AA52" s="219">
        <f>IFERROR((ENTRI!W52)," ")</f>
        <v>23</v>
      </c>
      <c r="AB52" s="219" t="str">
        <f>IFERROR((ENTRI!X52)," ")</f>
        <v>S1</v>
      </c>
      <c r="AC52" s="219" t="str">
        <f>IFERROR((ENTRI!Y52)," ")</f>
        <v>PAI</v>
      </c>
      <c r="AD52" s="219">
        <f>IFERROR((ENTRI!Z52)," ")</f>
        <v>2011</v>
      </c>
      <c r="AE52" s="219">
        <f>IFERROR((ENTRI!AA52)," ")</f>
        <v>0</v>
      </c>
      <c r="AF52" s="219">
        <f>IFERROR((ENTRI!AB52)," ")</f>
        <v>0</v>
      </c>
      <c r="AG52" s="219" t="str">
        <f>IFERROR((ENTRI!AC52)," ")</f>
        <v xml:space="preserve"> </v>
      </c>
      <c r="AH52" s="219">
        <f>IFERROR((ENTRI!AD52)," ")</f>
        <v>0</v>
      </c>
      <c r="AI52" s="219" t="str">
        <f>IFERROR((ENTRI!AE52)," ")</f>
        <v xml:space="preserve">Sedi Budaya &amp; Qur'an Hadist</v>
      </c>
      <c r="AJ52" s="219">
        <f>IFERROR((ENTRI!AF52)," ")</f>
        <v>10</v>
      </c>
      <c r="AK52" s="219" t="str">
        <f>IFERROR((ENTRI!AG52)," ")</f>
        <v xml:space="preserve">Kepala Sekolah</v>
      </c>
      <c r="AL52" s="219">
        <f>IFERROR((ENTRI!AH52)," ")</f>
        <v>18</v>
      </c>
      <c r="AM52" s="219">
        <f>IFERROR((ENTRI!AI52)," ")</f>
        <v>28</v>
      </c>
      <c r="AN52" s="219">
        <f>IFERROR((ENTRI!AJ52)," ")</f>
        <v>0</v>
      </c>
      <c r="AO52" s="219">
        <f>IFERROR((ENTRI!AK52)," ")</f>
        <v>0</v>
      </c>
      <c r="AP52" s="219">
        <f>IFERROR((ENTRI!AL52)," ")</f>
        <v>0</v>
      </c>
      <c r="AQ52" s="219">
        <f>IFERROR((ENTRI!AM52)," ")</f>
        <v>0</v>
      </c>
      <c r="AR52" s="216" t="str">
        <f>E52&amp;"."&amp;H52&amp;"."&amp;AW52&amp;"."&amp;ENTRI!$E$4</f>
        <v>06.01.045.2025</v>
      </c>
      <c r="AS52" t="str">
        <f>"YPP.QH/KP.01."&amp;E52&amp;"/"&amp;AW52&amp;"/"&amp;ENTRI!$E$4</f>
        <v>YPP.QH/KP.01.06/045/2025</v>
      </c>
      <c r="AW52" s="277" t="s">
        <v>940</v>
      </c>
    </row>
    <row r="53">
      <c r="A53">
        <f t="shared" si="47"/>
        <v>39</v>
      </c>
      <c r="B53" s="276">
        <f t="shared" si="42"/>
        <v>1998</v>
      </c>
      <c r="C53" s="277">
        <v>46</v>
      </c>
      <c r="D53" s="219" t="str">
        <f>IFERROR(IF(ENTRI!B53=$AZ$9,$BA$9,IF(ENTRI!B53=$AZ$10,$BA$10,IF(ENTRI!B53=$AZ$11,$BA$11,IF(ENTRI!B53=$AZ$12,$BA$12,IF(ENTRI!B53=$AZ$13,$BA$13,IF(ENTRI!B53=$AZ$14,$BA$14,IF(ENTRI!B53=$AZ$15,$BA$15,IF(ENTRI!B53=$AZ$16,$BA$16,IF(ENTRI!B53=$AZ$17,$BA$17,IF(ENTRI!B53=$AZ$18,$BA$18," "))))))))))," ")</f>
        <v xml:space="preserve">SMK Qomarul Hidayah 2 Tugu</v>
      </c>
      <c r="E53" s="219" t="str">
        <f>IFERROR((ENTRI!C53)," ")</f>
        <v>07</v>
      </c>
      <c r="F53" s="219">
        <f t="shared" si="43"/>
        <v>39</v>
      </c>
      <c r="G53" s="219" t="str">
        <f>IFERROR((ENTRI!E53)," ")</f>
        <v>Guru</v>
      </c>
      <c r="H53" s="219" t="str">
        <f>IFERROR((ENTRI!F53)," ")</f>
        <v>01</v>
      </c>
      <c r="I53" s="219" t="str">
        <f>IFERROR((ENTRI!G53)," ")</f>
        <v xml:space="preserve">JAKIYATUN NAFSIYAH, S.Ag</v>
      </c>
      <c r="J53" s="219" t="str">
        <f>IFERROR((ENTRI!H53)," ")</f>
        <v xml:space="preserve">19751012  200507 07 01 87</v>
      </c>
      <c r="K53" s="219" t="str">
        <f>IFERROR((ENTRI!I53)," ")</f>
        <v>Trenggalek</v>
      </c>
      <c r="L53" s="219">
        <f>IFERROR((ENTRI!J53)," ")</f>
        <v>12</v>
      </c>
      <c r="M53" s="219">
        <f>IFERROR((ENTRI!K53)," ")</f>
        <v>10</v>
      </c>
      <c r="N53" s="219">
        <f>IFERROR((ENTRI!L53)," ")</f>
        <v>1975</v>
      </c>
      <c r="O53" s="219" t="str">
        <f t="shared" si="44"/>
        <v xml:space="preserve">Trenggalek, 12-10-1975</v>
      </c>
      <c r="P53" s="219" t="str">
        <f>IFERROR((ENTRI!N53)," ")</f>
        <v>15</v>
      </c>
      <c r="Q53" s="219" t="str">
        <f>IFERROR((ENTRI!O53)," ")</f>
        <v>07</v>
      </c>
      <c r="R53" s="219">
        <f>IFERROR((ENTRI!P53)," ")</f>
        <v>2005</v>
      </c>
      <c r="S53" s="219" t="str">
        <f t="shared" si="45"/>
        <v>15-07-2005</v>
      </c>
      <c r="T53" s="219" t="str">
        <f>IFERROR((ENTRI!Q53)," ")</f>
        <v>15</v>
      </c>
      <c r="U53" s="219" t="str">
        <f>IFERROR((ENTRI!R53)," ")</f>
        <v>07</v>
      </c>
      <c r="V53" s="219">
        <f>IFERROR((ENTRI!S53)," ")</f>
        <v>2005</v>
      </c>
      <c r="W53" s="219" t="str">
        <f t="shared" si="46"/>
        <v>15-07-2005</v>
      </c>
      <c r="X53" s="219">
        <f>IFERROR((ENTRI!T53)," ")</f>
        <v>20</v>
      </c>
      <c r="Y53" s="219">
        <f>IFERROR((ENTRI!U53)," ")</f>
        <v>20</v>
      </c>
      <c r="Z53" s="219">
        <f>IFERROR((ENTRI!V53)," ")</f>
        <v>20</v>
      </c>
      <c r="AA53" s="219">
        <f>IFERROR((ENTRI!W53)," ")</f>
        <v>20</v>
      </c>
      <c r="AB53" s="219" t="str">
        <f>IFERROR((ENTRI!X53)," ")</f>
        <v>S1</v>
      </c>
      <c r="AC53" s="219" t="str">
        <f>IFERROR((ENTRI!Y53)," ")</f>
        <v>PAI</v>
      </c>
      <c r="AD53" s="219">
        <f>IFERROR((ENTRI!Z53)," ")</f>
        <v>1999</v>
      </c>
      <c r="AE53" s="219">
        <f>IFERROR((ENTRI!AA53)," ")</f>
        <v>0</v>
      </c>
      <c r="AF53" s="219">
        <f>IFERROR((ENTRI!AB53)," ")</f>
        <v>0</v>
      </c>
      <c r="AG53" s="219" t="str">
        <f>IFERROR((ENTRI!AC53)," ")</f>
        <v xml:space="preserve"> </v>
      </c>
      <c r="AH53" s="219">
        <f>IFERROR((ENTRI!AD53)," ")</f>
        <v>0</v>
      </c>
      <c r="AI53" s="219" t="str">
        <f>IFERROR((ENTRI!AE53)," ")</f>
        <v xml:space="preserve">Bhs.Inggris &amp; KKPI</v>
      </c>
      <c r="AJ53" s="219">
        <f>IFERROR((ENTRI!AF53)," ")</f>
        <v>24</v>
      </c>
      <c r="AK53" s="219" t="str">
        <f>IFERROR((ENTRI!AG53)," ")</f>
        <v>-</v>
      </c>
      <c r="AL53" s="219" t="str">
        <f>IFERROR((ENTRI!AH53)," ")</f>
        <v>-</v>
      </c>
      <c r="AM53" s="219" t="str">
        <f>IFERROR((ENTRI!AI53)," ")</f>
        <v xml:space="preserve"> </v>
      </c>
      <c r="AN53" s="219">
        <f>IFERROR((ENTRI!AJ53)," ")</f>
        <v>0</v>
      </c>
      <c r="AO53" s="219">
        <f>IFERROR((ENTRI!AK53)," ")</f>
        <v>0</v>
      </c>
      <c r="AP53" s="219">
        <f>IFERROR((ENTRI!AL53)," ")</f>
        <v>0</v>
      </c>
      <c r="AQ53" s="219">
        <f>IFERROR((ENTRI!AM53)," ")</f>
        <v>0</v>
      </c>
      <c r="AR53" s="216" t="str">
        <f>E53&amp;"."&amp;H53&amp;"."&amp;AW53&amp;"."&amp;ENTRI!$E$4</f>
        <v>07.01.046.2025</v>
      </c>
      <c r="AS53" t="str">
        <f>"YPP.QH/KP.01."&amp;E53&amp;"/"&amp;AW53&amp;"/"&amp;ENTRI!$E$4</f>
        <v>YPP.QH/KP.01.07/046/2025</v>
      </c>
      <c r="AW53" s="277" t="s">
        <v>941</v>
      </c>
    </row>
    <row r="54">
      <c r="A54">
        <f t="shared" si="47"/>
        <v>50</v>
      </c>
      <c r="B54" s="276">
        <f t="shared" si="42"/>
        <v>1999</v>
      </c>
      <c r="C54" s="277">
        <v>47</v>
      </c>
      <c r="D54" s="219" t="str">
        <f>IFERROR(IF(ENTRI!B54=$AZ$9,$BA$9,IF(ENTRI!B54=$AZ$10,$BA$10,IF(ENTRI!B54=$AZ$11,$BA$11,IF(ENTRI!B54=$AZ$12,$BA$12,IF(ENTRI!B54=$AZ$13,$BA$13,IF(ENTRI!B54=$AZ$14,$BA$14,IF(ENTRI!B54=$AZ$15,$BA$15,IF(ENTRI!B54=$AZ$16,$BA$16,IF(ENTRI!B54=$AZ$17,$BA$17,IF(ENTRI!B54=$AZ$18,$BA$18," "))))))))))," ")</f>
        <v xml:space="preserve">SMK Qomarul Hidayah 1 Tugu</v>
      </c>
      <c r="E54" s="219" t="str">
        <f>IFERROR((ENTRI!C54)," ")</f>
        <v>06</v>
      </c>
      <c r="F54" s="219">
        <f t="shared" si="43"/>
        <v>50</v>
      </c>
      <c r="G54" s="219" t="str">
        <f>IFERROR((ENTRI!E54)," ")</f>
        <v>Guru</v>
      </c>
      <c r="H54" s="219" t="str">
        <f>IFERROR((ENTRI!F54)," ")</f>
        <v>01</v>
      </c>
      <c r="I54" s="219" t="str">
        <f>IFERROR((ENTRI!G54)," ")</f>
        <v xml:space="preserve">MARITA DWI WULANDARI, S.Pd</v>
      </c>
      <c r="J54" s="219" t="str">
        <f>IFERROR((ENTRI!H54)," ")</f>
        <v xml:space="preserve">19840327  200607 06 01 </v>
      </c>
      <c r="K54" s="219" t="str">
        <f>IFERROR((ENTRI!I54)," ")</f>
        <v>Trenggalek</v>
      </c>
      <c r="L54" s="219">
        <f>IFERROR((ENTRI!J54)," ")</f>
        <v>27</v>
      </c>
      <c r="M54" s="219" t="str">
        <f>IFERROR((ENTRI!K54)," ")</f>
        <v>03</v>
      </c>
      <c r="N54" s="219">
        <f>IFERROR((ENTRI!L54)," ")</f>
        <v>1984</v>
      </c>
      <c r="O54" s="219" t="str">
        <f t="shared" si="44"/>
        <v xml:space="preserve">Trenggalek, 27-03-1984</v>
      </c>
      <c r="P54" s="219">
        <f>IFERROR((ENTRI!N54)," ")</f>
        <v>17</v>
      </c>
      <c r="Q54" s="219" t="str">
        <f>IFERROR((ENTRI!O54)," ")</f>
        <v>07</v>
      </c>
      <c r="R54" s="219">
        <f>IFERROR((ENTRI!P54)," ")</f>
        <v>2006</v>
      </c>
      <c r="S54" s="219" t="str">
        <f t="shared" si="45"/>
        <v>17-07-2006</v>
      </c>
      <c r="T54" s="219">
        <f>IFERROR((ENTRI!Q54)," ")</f>
        <v>17</v>
      </c>
      <c r="U54" s="219" t="str">
        <f>IFERROR((ENTRI!R54)," ")</f>
        <v>07</v>
      </c>
      <c r="V54" s="219">
        <f>IFERROR((ENTRI!S54)," ")</f>
        <v>2006</v>
      </c>
      <c r="W54" s="219" t="str">
        <f t="shared" si="46"/>
        <v>17-07-2006</v>
      </c>
      <c r="X54" s="219">
        <f>IFERROR((ENTRI!T54)," ")</f>
        <v>19</v>
      </c>
      <c r="Y54" s="219">
        <f>IFERROR((ENTRI!U54)," ")</f>
        <v>19</v>
      </c>
      <c r="Z54" s="219">
        <f>IFERROR((ENTRI!V54)," ")</f>
        <v>19</v>
      </c>
      <c r="AA54" s="219">
        <f>IFERROR((ENTRI!W54)," ")</f>
        <v>19</v>
      </c>
      <c r="AB54" s="219" t="str">
        <f>IFERROR((ENTRI!X54)," ")</f>
        <v>S1</v>
      </c>
      <c r="AC54" s="219" t="str">
        <f>IFERROR((ENTRI!Y54)," ")</f>
        <v>Bhs.Inggris</v>
      </c>
      <c r="AD54" s="219">
        <f>IFERROR((ENTRI!Z54)," ")</f>
        <v>2005</v>
      </c>
      <c r="AE54" s="219">
        <f>IFERROR((ENTRI!AA54)," ")</f>
        <v>0</v>
      </c>
      <c r="AF54" s="219" t="str">
        <f>IFERROR((ENTRI!AB54)," ")</f>
        <v xml:space="preserve">GURU MUDA</v>
      </c>
      <c r="AG54" s="219" t="str">
        <f>IFERROR((ENTRI!AC54)," ")</f>
        <v xml:space="preserve"> </v>
      </c>
      <c r="AH54" s="219" t="str">
        <f>IFERROR((ENTRI!AD54)," ")</f>
        <v xml:space="preserve">III C</v>
      </c>
      <c r="AI54" s="219" t="str">
        <f>IFERROR((ENTRI!AE54)," ")</f>
        <v>BP/BK</v>
      </c>
      <c r="AJ54" s="219">
        <f>IFERROR((ENTRI!AF54)," ")</f>
        <v>24</v>
      </c>
      <c r="AK54" s="219" t="str">
        <f>IFERROR((ENTRI!AG54)," ")</f>
        <v>-</v>
      </c>
      <c r="AL54" s="219" t="str">
        <f>IFERROR((ENTRI!AH54)," ")</f>
        <v>-</v>
      </c>
      <c r="AM54" s="219" t="str">
        <f>IFERROR((ENTRI!AI54)," ")</f>
        <v xml:space="preserve"> </v>
      </c>
      <c r="AN54" s="219">
        <f>IFERROR((ENTRI!AJ54)," ")</f>
        <v>0</v>
      </c>
      <c r="AO54" s="219">
        <f>IFERROR((ENTRI!AK54)," ")</f>
        <v>0</v>
      </c>
      <c r="AP54" s="219">
        <f>IFERROR((ENTRI!AL54)," ")</f>
        <v>0</v>
      </c>
      <c r="AQ54" s="219">
        <f>IFERROR((ENTRI!AM54)," ")</f>
        <v>0</v>
      </c>
      <c r="AR54" s="216" t="str">
        <f>E54&amp;"."&amp;H54&amp;"."&amp;AW54&amp;"."&amp;ENTRI!$E$4</f>
        <v>06.01.047.2025</v>
      </c>
      <c r="AS54" t="str">
        <f>"YPP.QH/KP.01."&amp;E54&amp;"/"&amp;AW54&amp;"/"&amp;ENTRI!$E$4</f>
        <v>YPP.QH/KP.01.06/047/2025</v>
      </c>
      <c r="AW54" s="277" t="s">
        <v>942</v>
      </c>
    </row>
    <row r="55">
      <c r="A55">
        <f t="shared" si="47"/>
        <v>53</v>
      </c>
      <c r="B55" s="276">
        <f t="shared" si="42"/>
        <v>2000</v>
      </c>
      <c r="C55" s="277">
        <v>48</v>
      </c>
      <c r="D55" s="219" t="str">
        <f>IFERROR(IF(ENTRI!B55=$AZ$9,$BA$9,IF(ENTRI!B55=$AZ$10,$BA$10,IF(ENTRI!B55=$AZ$11,$BA$11,IF(ENTRI!B55=$AZ$12,$BA$12,IF(ENTRI!B55=$AZ$13,$BA$13,IF(ENTRI!B55=$AZ$14,$BA$14,IF(ENTRI!B55=$AZ$15,$BA$15,IF(ENTRI!B55=$AZ$16,$BA$16,IF(ENTRI!B55=$AZ$17,$BA$17,IF(ENTRI!B55=$AZ$18,$BA$18," "))))))))))," ")</f>
        <v xml:space="preserve">SMK Qomarul Hidayah 1 Tugu</v>
      </c>
      <c r="E55" s="219" t="str">
        <f>IFERROR((ENTRI!C55)," ")</f>
        <v>06</v>
      </c>
      <c r="F55" s="219">
        <f t="shared" si="43"/>
        <v>53</v>
      </c>
      <c r="G55" s="219" t="str">
        <f>IFERROR((ENTRI!E55)," ")</f>
        <v>Guru</v>
      </c>
      <c r="H55" s="219" t="str">
        <f>IFERROR((ENTRI!F55)," ")</f>
        <v>01</v>
      </c>
      <c r="I55" s="219" t="str">
        <f>IFERROR((ENTRI!G55)," ")</f>
        <v xml:space="preserve">NAFIUL ANWAR, S.Pd</v>
      </c>
      <c r="J55" s="219" t="str">
        <f>IFERROR((ENTRI!H55)," ")</f>
        <v xml:space="preserve">19871005  200707 06 01 </v>
      </c>
      <c r="K55" s="219" t="str">
        <f>IFERROR((ENTRI!I55)," ")</f>
        <v>Trenggalek</v>
      </c>
      <c r="L55" s="219" t="str">
        <f>IFERROR((ENTRI!J55)," ")</f>
        <v>05</v>
      </c>
      <c r="M55" s="219">
        <f>IFERROR((ENTRI!K55)," ")</f>
        <v>10</v>
      </c>
      <c r="N55" s="219">
        <f>IFERROR((ENTRI!L55)," ")</f>
        <v>1987</v>
      </c>
      <c r="O55" s="219" t="str">
        <f t="shared" si="44"/>
        <v xml:space="preserve">Trenggalek, 05-10-1987</v>
      </c>
      <c r="P55" s="219">
        <f>IFERROR((ENTRI!N55)," ")</f>
        <v>16</v>
      </c>
      <c r="Q55" s="219" t="str">
        <f>IFERROR((ENTRI!O55)," ")</f>
        <v>07</v>
      </c>
      <c r="R55" s="219">
        <f>IFERROR((ENTRI!P55)," ")</f>
        <v>2007</v>
      </c>
      <c r="S55" s="219" t="str">
        <f t="shared" si="45"/>
        <v>16-07-2007</v>
      </c>
      <c r="T55" s="219">
        <f>IFERROR((ENTRI!Q55)," ")</f>
        <v>16</v>
      </c>
      <c r="U55" s="219" t="str">
        <f>IFERROR((ENTRI!R55)," ")</f>
        <v>07</v>
      </c>
      <c r="V55" s="219">
        <f>IFERROR((ENTRI!S55)," ")</f>
        <v>2007</v>
      </c>
      <c r="W55" s="219" t="str">
        <f t="shared" si="46"/>
        <v>16-07-2007</v>
      </c>
      <c r="X55" s="219">
        <f>IFERROR((ENTRI!T55)," ")</f>
        <v>18</v>
      </c>
      <c r="Y55" s="219">
        <f>IFERROR((ENTRI!U55)," ")</f>
        <v>18</v>
      </c>
      <c r="Z55" s="219">
        <f>IFERROR((ENTRI!V55)," ")</f>
        <v>18</v>
      </c>
      <c r="AA55" s="219">
        <f>IFERROR((ENTRI!W55)," ")</f>
        <v>18</v>
      </c>
      <c r="AB55" s="219" t="str">
        <f>IFERROR((ENTRI!X55)," ")</f>
        <v>S1</v>
      </c>
      <c r="AC55" s="219" t="str">
        <f>IFERROR((ENTRI!Y55)," ")</f>
        <v>BP/BK</v>
      </c>
      <c r="AD55" s="219">
        <f>IFERROR((ENTRI!Z55)," ")</f>
        <v>2013</v>
      </c>
      <c r="AE55" s="219">
        <f>IFERROR((ENTRI!AA55)," ")</f>
        <v>0</v>
      </c>
      <c r="AF55" s="219">
        <f>IFERROR((ENTRI!AB55)," ")</f>
        <v>0</v>
      </c>
      <c r="AG55" s="219" t="str">
        <f>IFERROR((ENTRI!AC55)," ")</f>
        <v xml:space="preserve"> </v>
      </c>
      <c r="AH55" s="219">
        <f>IFERROR((ENTRI!AD55)," ")</f>
        <v>0</v>
      </c>
      <c r="AI55" s="219" t="str">
        <f>IFERROR((ENTRI!AE55)," ")</f>
        <v>PKN</v>
      </c>
      <c r="AJ55" s="219">
        <f>IFERROR((ENTRI!AF55)," ")</f>
        <v>12</v>
      </c>
      <c r="AK55" s="219" t="str">
        <f>IFERROR((ENTRI!AG55)," ")</f>
        <v>-</v>
      </c>
      <c r="AL55" s="219" t="str">
        <f>IFERROR((ENTRI!AH55)," ")</f>
        <v>-</v>
      </c>
      <c r="AM55" s="219" t="str">
        <f>IFERROR((ENTRI!AI55)," ")</f>
        <v xml:space="preserve"> </v>
      </c>
      <c r="AN55" s="219">
        <f>IFERROR((ENTRI!AJ55)," ")</f>
        <v>0</v>
      </c>
      <c r="AO55" s="219">
        <f>IFERROR((ENTRI!AK55)," ")</f>
        <v>0</v>
      </c>
      <c r="AP55" s="219">
        <f>IFERROR((ENTRI!AL55)," ")</f>
        <v>0</v>
      </c>
      <c r="AQ55" s="219">
        <f>IFERROR((ENTRI!AM55)," ")</f>
        <v>0</v>
      </c>
      <c r="AR55" s="216" t="str">
        <f>E55&amp;"."&amp;H55&amp;"."&amp;AW55&amp;"."&amp;ENTRI!$E$4</f>
        <v>06.01.048.2025</v>
      </c>
      <c r="AS55" t="str">
        <f>"YPP.QH/KP.01."&amp;E55&amp;"/"&amp;AW55&amp;"/"&amp;ENTRI!$E$4</f>
        <v>YPP.QH/KP.01.06/048/2025</v>
      </c>
      <c r="AW55" s="277" t="s">
        <v>943</v>
      </c>
    </row>
    <row r="56">
      <c r="A56">
        <f t="shared" si="47"/>
        <v>53</v>
      </c>
      <c r="B56" s="276">
        <f t="shared" si="42"/>
        <v>2000</v>
      </c>
      <c r="C56" s="277">
        <v>49</v>
      </c>
      <c r="D56" s="219" t="str">
        <f>IFERROR(IF(ENTRI!B56=$AZ$9,$BA$9,IF(ENTRI!B56=$AZ$10,$BA$10,IF(ENTRI!B56=$AZ$11,$BA$11,IF(ENTRI!B56=$AZ$12,$BA$12,IF(ENTRI!B56=$AZ$13,$BA$13,IF(ENTRI!B56=$AZ$14,$BA$14,IF(ENTRI!B56=$AZ$15,$BA$15,IF(ENTRI!B56=$AZ$16,$BA$16,IF(ENTRI!B56=$AZ$17,$BA$17,IF(ENTRI!B56=$AZ$18,$BA$18," "))))))))))," ")</f>
        <v xml:space="preserve">SMK Qomarul Hidayah 1 Tugu</v>
      </c>
      <c r="E56" s="219" t="str">
        <f>IFERROR((ENTRI!C56)," ")</f>
        <v>06</v>
      </c>
      <c r="F56" s="219">
        <f t="shared" si="43"/>
        <v>53</v>
      </c>
      <c r="G56" s="219" t="str">
        <f>IFERROR((ENTRI!E56)," ")</f>
        <v>Guru</v>
      </c>
      <c r="H56" s="219" t="str">
        <f>IFERROR((ENTRI!F56)," ")</f>
        <v>01</v>
      </c>
      <c r="I56" s="219" t="str">
        <f>IFERROR((ENTRI!G56)," ")</f>
        <v xml:space="preserve">IKA SRIWINDIATI, S.Pd</v>
      </c>
      <c r="J56" s="219" t="str">
        <f>IFERROR((ENTRI!H56)," ")</f>
        <v xml:space="preserve">19820929  200707 06 01 01</v>
      </c>
      <c r="K56" s="219" t="str">
        <f>IFERROR((ENTRI!I56)," ")</f>
        <v>Trenggalek</v>
      </c>
      <c r="L56" s="219" t="str">
        <f>IFERROR((ENTRI!J56)," ")</f>
        <v>29</v>
      </c>
      <c r="M56" s="219" t="str">
        <f>IFERROR((ENTRI!K56)," ")</f>
        <v>09</v>
      </c>
      <c r="N56" s="219">
        <f>IFERROR((ENTRI!L56)," ")</f>
        <v>1982</v>
      </c>
      <c r="O56" s="219" t="str">
        <f t="shared" si="44"/>
        <v xml:space="preserve">Trenggalek, 29-09-1982</v>
      </c>
      <c r="P56" s="219">
        <f>IFERROR((ENTRI!N56)," ")</f>
        <v>17</v>
      </c>
      <c r="Q56" s="219" t="str">
        <f>IFERROR((ENTRI!O56)," ")</f>
        <v>07</v>
      </c>
      <c r="R56" s="219">
        <f>IFERROR((ENTRI!P56)," ")</f>
        <v>2007</v>
      </c>
      <c r="S56" s="219" t="str">
        <f t="shared" si="45"/>
        <v>17-07-2007</v>
      </c>
      <c r="T56" s="219">
        <f>IFERROR((ENTRI!Q56)," ")</f>
        <v>17</v>
      </c>
      <c r="U56" s="219" t="str">
        <f>IFERROR((ENTRI!R56)," ")</f>
        <v>07</v>
      </c>
      <c r="V56" s="219">
        <f>IFERROR((ENTRI!S56)," ")</f>
        <v>2007</v>
      </c>
      <c r="W56" s="219" t="str">
        <f t="shared" si="46"/>
        <v>17-07-2007</v>
      </c>
      <c r="X56" s="219">
        <f>IFERROR((ENTRI!T56)," ")</f>
        <v>18</v>
      </c>
      <c r="Y56" s="219">
        <f>IFERROR((ENTRI!U56)," ")</f>
        <v>18</v>
      </c>
      <c r="Z56" s="219">
        <f>IFERROR((ENTRI!V56)," ")</f>
        <v>18</v>
      </c>
      <c r="AA56" s="219">
        <f>IFERROR((ENTRI!W56)," ")</f>
        <v>18</v>
      </c>
      <c r="AB56" s="219" t="str">
        <f>IFERROR((ENTRI!X56)," ")</f>
        <v>S1</v>
      </c>
      <c r="AC56" s="219" t="str">
        <f>IFERROR((ENTRI!Y56)," ")</f>
        <v xml:space="preserve">BAHASA INGGRIS</v>
      </c>
      <c r="AD56" s="219">
        <f>IFERROR((ENTRI!Z56)," ")</f>
        <v>2006</v>
      </c>
      <c r="AE56" s="219">
        <f>IFERROR((ENTRI!AA56)," ")</f>
        <v>0</v>
      </c>
      <c r="AF56" s="219">
        <f>IFERROR((ENTRI!AB56)," ")</f>
        <v>0</v>
      </c>
      <c r="AG56" s="219" t="str">
        <f>IFERROR((ENTRI!AC56)," ")</f>
        <v xml:space="preserve"> </v>
      </c>
      <c r="AH56" s="219">
        <f>IFERROR((ENTRI!AD56)," ")</f>
        <v>0</v>
      </c>
      <c r="AI56" s="219" t="str">
        <f>IFERROR((ENTRI!AE56)," ")</f>
        <v xml:space="preserve">Mulok, IPA</v>
      </c>
      <c r="AJ56" s="219">
        <f>IFERROR((ENTRI!AF56)," ")</f>
        <v>6</v>
      </c>
      <c r="AK56" s="219" t="str">
        <f>IFERROR((ENTRI!AG56)," ")</f>
        <v xml:space="preserve">Waka Humas</v>
      </c>
      <c r="AL56" s="219">
        <f>IFERROR((ENTRI!AH56)," ")</f>
        <v>12</v>
      </c>
      <c r="AM56" s="219">
        <f>IFERROR((ENTRI!AI56)," ")</f>
        <v>18</v>
      </c>
      <c r="AN56" s="219">
        <f>IFERROR((ENTRI!AJ56)," ")</f>
        <v>0</v>
      </c>
      <c r="AO56" s="219">
        <f>IFERROR((ENTRI!AK56)," ")</f>
        <v>0</v>
      </c>
      <c r="AP56" s="219">
        <f>IFERROR((ENTRI!AL56)," ")</f>
        <v>0</v>
      </c>
      <c r="AQ56" s="219">
        <f>IFERROR((ENTRI!AM56)," ")</f>
        <v>0</v>
      </c>
      <c r="AR56" s="216" t="str">
        <f>E56&amp;"."&amp;H56&amp;"."&amp;AW56&amp;"."&amp;ENTRI!$E$4</f>
        <v>06.01.049.2025</v>
      </c>
      <c r="AS56" t="str">
        <f>"YPP.QH/KP.01."&amp;E56&amp;"/"&amp;AW56&amp;"/"&amp;ENTRI!$E$4</f>
        <v>YPP.QH/KP.01.06/049/2025</v>
      </c>
      <c r="AW56" s="277" t="s">
        <v>944</v>
      </c>
    </row>
    <row r="57">
      <c r="A57">
        <f t="shared" si="47"/>
        <v>86</v>
      </c>
      <c r="B57" s="276">
        <f t="shared" si="42"/>
        <v>2006</v>
      </c>
      <c r="C57" s="277">
        <v>50</v>
      </c>
      <c r="D57" s="219" t="str">
        <f>IFERROR(IF(ENTRI!B57=$AZ$9,$BA$9,IF(ENTRI!B57=$AZ$10,$BA$10,IF(ENTRI!B57=$AZ$11,$BA$11,IF(ENTRI!B57=$AZ$12,$BA$12,IF(ENTRI!B57=$AZ$13,$BA$13,IF(ENTRI!B57=$AZ$14,$BA$14,IF(ENTRI!B57=$AZ$15,$BA$15,IF(ENTRI!B57=$AZ$16,$BA$16,IF(ENTRI!B57=$AZ$17,$BA$17,IF(ENTRI!B57=$AZ$18,$BA$18," "))))))))))," ")</f>
        <v xml:space="preserve">SMK Qomarul Hidayah 1 Tugu</v>
      </c>
      <c r="E57" s="219" t="str">
        <f>IFERROR((ENTRI!C57)," ")</f>
        <v>06</v>
      </c>
      <c r="F57" s="219">
        <f t="shared" si="43"/>
        <v>86</v>
      </c>
      <c r="G57" s="219" t="str">
        <f>IFERROR((ENTRI!E57)," ")</f>
        <v>Guru</v>
      </c>
      <c r="H57" s="219" t="str">
        <f>IFERROR((ENTRI!F57)," ")</f>
        <v>01</v>
      </c>
      <c r="I57" s="219" t="str">
        <f>IFERROR((ENTRI!G57)," ")</f>
        <v xml:space="preserve">INFIRUL AZIZAH, S.Pd</v>
      </c>
      <c r="J57" s="219" t="str">
        <f>IFERROR((ENTRI!H57)," ")</f>
        <v xml:space="preserve">19880401  201307 06 01 34</v>
      </c>
      <c r="K57" s="219" t="str">
        <f>IFERROR((ENTRI!I57)," ")</f>
        <v>Trenggalek</v>
      </c>
      <c r="L57" s="219" t="str">
        <f>IFERROR((ENTRI!J57)," ")</f>
        <v>01</v>
      </c>
      <c r="M57" s="219" t="str">
        <f>IFERROR((ENTRI!K57)," ")</f>
        <v>04</v>
      </c>
      <c r="N57" s="219">
        <f>IFERROR((ENTRI!L57)," ")</f>
        <v>1988</v>
      </c>
      <c r="O57" s="219" t="str">
        <f t="shared" si="44"/>
        <v xml:space="preserve">Trenggalek, 01-04-1988</v>
      </c>
      <c r="P57" s="219">
        <f>IFERROR((ENTRI!N57)," ")</f>
        <v>14</v>
      </c>
      <c r="Q57" s="219" t="str">
        <f>IFERROR((ENTRI!O57)," ")</f>
        <v>07</v>
      </c>
      <c r="R57" s="219">
        <f>IFERROR((ENTRI!P57)," ")</f>
        <v>2013</v>
      </c>
      <c r="S57" s="219" t="str">
        <f t="shared" si="45"/>
        <v>14-07-2013</v>
      </c>
      <c r="T57" s="219">
        <f>IFERROR((ENTRI!Q57)," ")</f>
        <v>14</v>
      </c>
      <c r="U57" s="219" t="str">
        <f>IFERROR((ENTRI!R57)," ")</f>
        <v>07</v>
      </c>
      <c r="V57" s="219">
        <f>IFERROR((ENTRI!S57)," ")</f>
        <v>2013</v>
      </c>
      <c r="W57" s="219" t="str">
        <f t="shared" si="46"/>
        <v>14-07-2013</v>
      </c>
      <c r="X57" s="219">
        <f>IFERROR((ENTRI!T57)," ")</f>
        <v>12</v>
      </c>
      <c r="Y57" s="219">
        <f>IFERROR((ENTRI!U57)," ")</f>
        <v>12</v>
      </c>
      <c r="Z57" s="219">
        <f>IFERROR((ENTRI!V57)," ")</f>
        <v>12</v>
      </c>
      <c r="AA57" s="219">
        <f>IFERROR((ENTRI!W57)," ")</f>
        <v>12</v>
      </c>
      <c r="AB57" s="219" t="str">
        <f>IFERROR((ENTRI!X57)," ")</f>
        <v>S1</v>
      </c>
      <c r="AC57" s="219" t="str">
        <f>IFERROR((ENTRI!Y57)," ")</f>
        <v xml:space="preserve">BAHASA INGGRIS</v>
      </c>
      <c r="AD57" s="219">
        <f>IFERROR((ENTRI!Z57)," ")</f>
        <v>2010</v>
      </c>
      <c r="AE57" s="219">
        <f>IFERROR((ENTRI!AA57)," ")</f>
        <v>0</v>
      </c>
      <c r="AF57" s="219" t="str">
        <f>IFERROR((ENTRI!AB57)," ")</f>
        <v xml:space="preserve">GURU MUDA</v>
      </c>
      <c r="AG57" s="219" t="str">
        <f>IFERROR((ENTRI!AC57)," ")</f>
        <v xml:space="preserve"> </v>
      </c>
      <c r="AH57" s="219" t="str">
        <f>IFERROR((ENTRI!AD57)," ")</f>
        <v xml:space="preserve">III D</v>
      </c>
      <c r="AI57" s="219" t="str">
        <f>IFERROR((ENTRI!AE57)," ")</f>
        <v xml:space="preserve">Teknik Pengelasan</v>
      </c>
      <c r="AJ57" s="219">
        <f>IFERROR((ENTRI!AF57)," ")</f>
        <v>28</v>
      </c>
      <c r="AK57" s="219" t="str">
        <f>IFERROR((ENTRI!AG57)," ")</f>
        <v>-</v>
      </c>
      <c r="AL57" s="219" t="str">
        <f>IFERROR((ENTRI!AH57)," ")</f>
        <v>-</v>
      </c>
      <c r="AM57" s="219" t="str">
        <f>IFERROR((ENTRI!AI57)," ")</f>
        <v xml:space="preserve"> </v>
      </c>
      <c r="AN57" s="219">
        <f>IFERROR((ENTRI!AJ57)," ")</f>
        <v>0</v>
      </c>
      <c r="AO57" s="219">
        <f>IFERROR((ENTRI!AK57)," ")</f>
        <v>0</v>
      </c>
      <c r="AP57" s="219">
        <f>IFERROR((ENTRI!AL57)," ")</f>
        <v>0</v>
      </c>
      <c r="AQ57" s="219">
        <f>IFERROR((ENTRI!AM57)," ")</f>
        <v>0</v>
      </c>
      <c r="AR57" s="216" t="str">
        <f>E57&amp;"."&amp;H57&amp;"."&amp;AW57&amp;"."&amp;ENTRI!$E$4</f>
        <v>06.01.050.2025</v>
      </c>
      <c r="AS57" t="str">
        <f>"YPP.QH/KP.01."&amp;E57&amp;"/"&amp;AW57&amp;"/"&amp;ENTRI!$E$4</f>
        <v>YPP.QH/KP.01.06/050/2025</v>
      </c>
      <c r="AW57" s="277" t="s">
        <v>945</v>
      </c>
    </row>
    <row r="58">
      <c r="A58">
        <f t="shared" si="47"/>
        <v>21</v>
      </c>
      <c r="B58" s="276">
        <f t="shared" si="42"/>
        <v>1994</v>
      </c>
      <c r="C58" s="277">
        <v>51</v>
      </c>
      <c r="D58" s="219" t="str">
        <f>IFERROR(IF(ENTRI!B58=$AZ$9,$BA$9,IF(ENTRI!B58=$AZ$10,$BA$10,IF(ENTRI!B58=$AZ$11,$BA$11,IF(ENTRI!B58=$AZ$12,$BA$12,IF(ENTRI!B58=$AZ$13,$BA$13,IF(ENTRI!B58=$AZ$14,$BA$14,IF(ENTRI!B58=$AZ$15,$BA$15,IF(ENTRI!B58=$AZ$16,$BA$16,IF(ENTRI!B58=$AZ$17,$BA$17,IF(ENTRI!B58=$AZ$18,$BA$18," "))))))))))," ")</f>
        <v xml:space="preserve">SMK Qomarul Hidayah 1 Tugu</v>
      </c>
      <c r="E58" s="219" t="str">
        <f>IFERROR((ENTRI!C58)," ")</f>
        <v>06</v>
      </c>
      <c r="F58" s="219">
        <f t="shared" si="43"/>
        <v>21</v>
      </c>
      <c r="G58" s="219" t="str">
        <f>IFERROR((ENTRI!E58)," ")</f>
        <v>Guru</v>
      </c>
      <c r="H58" s="219" t="str">
        <f>IFERROR((ENTRI!F58)," ")</f>
        <v>01</v>
      </c>
      <c r="I58" s="219" t="str">
        <f>IFERROR((ENTRI!G58)," ")</f>
        <v xml:space="preserve">USNAN, S.T</v>
      </c>
      <c r="J58" s="219" t="str">
        <f>IFERROR((ENTRI!H58)," ")</f>
        <v xml:space="preserve">19740626  200107 06 01 68</v>
      </c>
      <c r="K58" s="219" t="str">
        <f>IFERROR((ENTRI!I58)," ")</f>
        <v>Klangenan</v>
      </c>
      <c r="L58" s="219">
        <f>IFERROR((ENTRI!J58)," ")</f>
        <v>26</v>
      </c>
      <c r="M58" s="219" t="str">
        <f>IFERROR((ENTRI!K58)," ")</f>
        <v>06</v>
      </c>
      <c r="N58" s="219">
        <f>IFERROR((ENTRI!L58)," ")</f>
        <v>1974</v>
      </c>
      <c r="O58" s="219" t="str">
        <f t="shared" si="44"/>
        <v xml:space="preserve">Klangenan, 26-06-1974</v>
      </c>
      <c r="P58" s="219">
        <f>IFERROR((ENTRI!N58)," ")</f>
        <v>18</v>
      </c>
      <c r="Q58" s="219" t="str">
        <f>IFERROR((ENTRI!O58)," ")</f>
        <v>07</v>
      </c>
      <c r="R58" s="219">
        <f>IFERROR((ENTRI!P58)," ")</f>
        <v>2001</v>
      </c>
      <c r="S58" s="219" t="str">
        <f t="shared" si="45"/>
        <v>18-07-2001</v>
      </c>
      <c r="T58" s="219">
        <f>IFERROR((ENTRI!Q58)," ")</f>
        <v>18</v>
      </c>
      <c r="U58" s="219" t="str">
        <f>IFERROR((ENTRI!R58)," ")</f>
        <v>07</v>
      </c>
      <c r="V58" s="219">
        <f>IFERROR((ENTRI!S58)," ")</f>
        <v>2001</v>
      </c>
      <c r="W58" s="219" t="str">
        <f t="shared" si="46"/>
        <v>18-07-2001</v>
      </c>
      <c r="X58" s="219">
        <f>IFERROR((ENTRI!T58)," ")</f>
        <v>24</v>
      </c>
      <c r="Y58" s="219">
        <f>IFERROR((ENTRI!U58)," ")</f>
        <v>24</v>
      </c>
      <c r="Z58" s="219">
        <f>IFERROR((ENTRI!V58)," ")</f>
        <v>24</v>
      </c>
      <c r="AA58" s="219">
        <f>IFERROR((ENTRI!W58)," ")</f>
        <v>24</v>
      </c>
      <c r="AB58" s="219" t="str">
        <f>IFERROR((ENTRI!X58)," ")</f>
        <v>S1</v>
      </c>
      <c r="AC58" s="219" t="str">
        <f>IFERROR((ENTRI!Y58)," ")</f>
        <v xml:space="preserve">Teknik Mesin</v>
      </c>
      <c r="AD58" s="219">
        <f>IFERROR((ENTRI!Z58)," ")</f>
        <v>2000</v>
      </c>
      <c r="AE58" s="219" t="str">
        <f>IFERROR((ENTRI!AA58)," ")</f>
        <v>SUDAH</v>
      </c>
      <c r="AF58" s="219" t="str">
        <f>IFERROR((ENTRI!AB58)," ")</f>
        <v xml:space="preserve">GURU MADYA</v>
      </c>
      <c r="AG58" s="219" t="str">
        <f>IFERROR((ENTRI!AC58)," ")</f>
        <v xml:space="preserve"> </v>
      </c>
      <c r="AH58" s="219">
        <f>IFERROR((ENTRI!AD58)," ")</f>
        <v>0</v>
      </c>
      <c r="AI58" s="219" t="str">
        <f>IFERROR((ENTRI!AE58)," ")</f>
        <v>ADMINISTRASI</v>
      </c>
      <c r="AJ58" s="219">
        <f>IFERROR((ENTRI!AF58)," ")</f>
        <v>0</v>
      </c>
      <c r="AK58" s="219" t="str">
        <f>IFERROR((ENTRI!AG58)," ")</f>
        <v>-</v>
      </c>
      <c r="AL58" s="219" t="str">
        <f>IFERROR((ENTRI!AH58)," ")</f>
        <v>-</v>
      </c>
      <c r="AM58" s="219" t="str">
        <f>IFERROR((ENTRI!AI58)," ")</f>
        <v xml:space="preserve"> </v>
      </c>
      <c r="AN58" s="219">
        <f>IFERROR((ENTRI!AJ58)," ")</f>
        <v>0</v>
      </c>
      <c r="AO58" s="219">
        <f>IFERROR((ENTRI!AK58)," ")</f>
        <v>0</v>
      </c>
      <c r="AP58" s="219">
        <f>IFERROR((ENTRI!AL58)," ")</f>
        <v>0</v>
      </c>
      <c r="AQ58" s="219">
        <f>IFERROR((ENTRI!AM58)," ")</f>
        <v>0</v>
      </c>
      <c r="AR58" s="216" t="str">
        <f>E58&amp;"."&amp;H58&amp;"."&amp;AW58&amp;"."&amp;ENTRI!$E$4</f>
        <v>06.01.051.2025</v>
      </c>
      <c r="AS58" t="str">
        <f>"YPP.QH/KP.01."&amp;E58&amp;"/"&amp;AW58&amp;"/"&amp;ENTRI!$E$4</f>
        <v>YPP.QH/KP.01.06/051/2025</v>
      </c>
      <c r="AW58" s="277" t="s">
        <v>946</v>
      </c>
    </row>
    <row r="59">
      <c r="A59">
        <f t="shared" si="47"/>
        <v>86</v>
      </c>
      <c r="B59" s="276">
        <f t="shared" si="42"/>
        <v>2006</v>
      </c>
      <c r="C59" s="277">
        <v>52</v>
      </c>
      <c r="D59" s="219" t="str">
        <f>IFERROR(IF(ENTRI!B59=$AZ$9,$BA$9,IF(ENTRI!B59=$AZ$10,$BA$10,IF(ENTRI!B59=$AZ$11,$BA$11,IF(ENTRI!B59=$AZ$12,$BA$12,IF(ENTRI!B59=$AZ$13,$BA$13,IF(ENTRI!B59=$AZ$14,$BA$14,IF(ENTRI!B59=$AZ$15,$BA$15,IF(ENTRI!B59=$AZ$16,$BA$16,IF(ENTRI!B59=$AZ$17,$BA$17,IF(ENTRI!B59=$AZ$18,$BA$18," "))))))))))," ")</f>
        <v xml:space="preserve">SMK Qomarul Hidayah 1 Tugu</v>
      </c>
      <c r="E59" s="219" t="str">
        <f>IFERROR((ENTRI!C59)," ")</f>
        <v>06</v>
      </c>
      <c r="F59" s="219">
        <f t="shared" si="43"/>
        <v>86</v>
      </c>
      <c r="G59" s="219" t="str">
        <f>IFERROR((ENTRI!E59)," ")</f>
        <v xml:space="preserve">Tenaga Kependidikan</v>
      </c>
      <c r="H59" s="219" t="str">
        <f>IFERROR((ENTRI!F59)," ")</f>
        <v>02</v>
      </c>
      <c r="I59" s="219" t="str">
        <f>IFERROR((ENTRI!G59)," ")</f>
        <v xml:space="preserve">MUTOHIROTUN NISAK,S.Pd</v>
      </c>
      <c r="J59" s="219" t="str">
        <f>IFERROR((ENTRI!H59)," ")</f>
        <v xml:space="preserve">19940926  201307 06 02 34</v>
      </c>
      <c r="K59" s="219" t="str">
        <f>IFERROR((ENTRI!I59)," ")</f>
        <v>Trenggalek</v>
      </c>
      <c r="L59" s="219">
        <f>IFERROR((ENTRI!J59)," ")</f>
        <v>26</v>
      </c>
      <c r="M59" s="219" t="str">
        <f>IFERROR((ENTRI!K59)," ")</f>
        <v>09</v>
      </c>
      <c r="N59" s="219">
        <f>IFERROR((ENTRI!L59)," ")</f>
        <v>1994</v>
      </c>
      <c r="O59" s="219" t="str">
        <f t="shared" si="44"/>
        <v xml:space="preserve">Trenggalek, 26-09-1994</v>
      </c>
      <c r="P59" s="219">
        <f>IFERROR((ENTRI!N59)," ")</f>
        <v>14</v>
      </c>
      <c r="Q59" s="219" t="str">
        <f>IFERROR((ENTRI!O59)," ")</f>
        <v>07</v>
      </c>
      <c r="R59" s="219">
        <f>IFERROR((ENTRI!P59)," ")</f>
        <v>2013</v>
      </c>
      <c r="S59" s="219" t="str">
        <f t="shared" si="45"/>
        <v>14-07-2013</v>
      </c>
      <c r="T59" s="219">
        <f>IFERROR((ENTRI!Q59)," ")</f>
        <v>14</v>
      </c>
      <c r="U59" s="219" t="str">
        <f>IFERROR((ENTRI!R59)," ")</f>
        <v>07</v>
      </c>
      <c r="V59" s="219">
        <f>IFERROR((ENTRI!S59)," ")</f>
        <v>2013</v>
      </c>
      <c r="W59" s="219" t="str">
        <f t="shared" si="46"/>
        <v>14-07-2013</v>
      </c>
      <c r="X59" s="219">
        <f>IFERROR((ENTRI!T59)," ")</f>
        <v>12</v>
      </c>
      <c r="Y59" s="219">
        <f>IFERROR((ENTRI!U59)," ")</f>
        <v>12</v>
      </c>
      <c r="Z59" s="219">
        <f>IFERROR((ENTRI!V59)," ")</f>
        <v>12</v>
      </c>
      <c r="AA59" s="219">
        <f>IFERROR((ENTRI!W59)," ")</f>
        <v>12</v>
      </c>
      <c r="AB59" s="219" t="str">
        <f>IFERROR((ENTRI!X59)," ")</f>
        <v>S1</v>
      </c>
      <c r="AC59" s="219" t="str">
        <f>IFERROR((ENTRI!Y59)," ")</f>
        <v xml:space="preserve">BAHASA INGGRIS</v>
      </c>
      <c r="AD59" s="219">
        <f>IFERROR((ENTRI!Z59)," ")</f>
        <v>2013</v>
      </c>
      <c r="AE59" s="219">
        <f>IFERROR((ENTRI!AA59)," ")</f>
        <v>0</v>
      </c>
      <c r="AF59" s="219">
        <f>IFERROR((ENTRI!AB59)," ")</f>
        <v>0</v>
      </c>
      <c r="AG59" s="219" t="str">
        <f>IFERROR((ENTRI!AC59)," ")</f>
        <v xml:space="preserve"> </v>
      </c>
      <c r="AH59" s="219">
        <f>IFERROR((ENTRI!AD59)," ")</f>
        <v>0</v>
      </c>
      <c r="AI59" s="219" t="str">
        <f>IFERROR((ENTRI!AE59)," ")</f>
        <v>KKPI</v>
      </c>
      <c r="AJ59" s="219">
        <f>IFERROR((ENTRI!AF59)," ")</f>
        <v>12</v>
      </c>
      <c r="AK59" s="219" t="str">
        <f>IFERROR((ENTRI!AG59)," ")</f>
        <v>-</v>
      </c>
      <c r="AL59" s="219" t="str">
        <f>IFERROR((ENTRI!AH59)," ")</f>
        <v>-</v>
      </c>
      <c r="AM59" s="219" t="str">
        <f>IFERROR((ENTRI!AI59)," ")</f>
        <v xml:space="preserve"> </v>
      </c>
      <c r="AN59" s="219">
        <f>IFERROR((ENTRI!AJ59)," ")</f>
        <v>0</v>
      </c>
      <c r="AO59" s="219">
        <f>IFERROR((ENTRI!AK59)," ")</f>
        <v>0</v>
      </c>
      <c r="AP59" s="219">
        <f>IFERROR((ENTRI!AL59)," ")</f>
        <v>0</v>
      </c>
      <c r="AQ59" s="219">
        <f>IFERROR((ENTRI!AM59)," ")</f>
        <v>0</v>
      </c>
      <c r="AR59" s="216" t="str">
        <f>E59&amp;"."&amp;H59&amp;"."&amp;AW59&amp;"."&amp;ENTRI!$E$4</f>
        <v>06.02.052.2025</v>
      </c>
      <c r="AS59" t="str">
        <f>"YPP.QH/KP.01."&amp;E59&amp;"/"&amp;AW59&amp;"/"&amp;ENTRI!$E$4</f>
        <v>YPP.QH/KP.01.06/052/2025</v>
      </c>
      <c r="AW59" s="277" t="s">
        <v>947</v>
      </c>
    </row>
    <row r="60">
      <c r="A60">
        <f t="shared" si="47"/>
        <v>50</v>
      </c>
      <c r="B60" s="276">
        <f t="shared" si="42"/>
        <v>1999</v>
      </c>
      <c r="C60" s="277">
        <v>53</v>
      </c>
      <c r="D60" s="219" t="str">
        <f>IFERROR(IF(ENTRI!B60=$AZ$9,$BA$9,IF(ENTRI!B60=$AZ$10,$BA$10,IF(ENTRI!B60=$AZ$11,$BA$11,IF(ENTRI!B60=$AZ$12,$BA$12,IF(ENTRI!B60=$AZ$13,$BA$13,IF(ENTRI!B60=$AZ$14,$BA$14,IF(ENTRI!B60=$AZ$15,$BA$15,IF(ENTRI!B60=$AZ$16,$BA$16,IF(ENTRI!B60=$AZ$17,$BA$17,IF(ENTRI!B60=$AZ$18,$BA$18," "))))))))))," ")</f>
        <v xml:space="preserve">SMK Qomarul Hidayah 1 Tugu</v>
      </c>
      <c r="E60" s="219" t="str">
        <f>IFERROR((ENTRI!C60)," ")</f>
        <v>06</v>
      </c>
      <c r="F60" s="219">
        <f t="shared" si="43"/>
        <v>50</v>
      </c>
      <c r="G60" s="219" t="str">
        <f>IFERROR((ENTRI!E60)," ")</f>
        <v>Guru</v>
      </c>
      <c r="H60" s="219" t="str">
        <f>IFERROR((ENTRI!F60)," ")</f>
        <v>01</v>
      </c>
      <c r="I60" s="219" t="str">
        <f>IFERROR((ENTRI!G60)," ")</f>
        <v xml:space="preserve">AHMAD YUSUF, S.Pd.I</v>
      </c>
      <c r="J60" s="219" t="str">
        <f>IFERROR((ENTRI!H60)," ")</f>
        <v xml:space="preserve">19860805  200607 06 01 </v>
      </c>
      <c r="K60" s="219" t="str">
        <f>IFERROR((ENTRI!I60)," ")</f>
        <v>Trenggalek</v>
      </c>
      <c r="L60" s="219" t="str">
        <f>IFERROR((ENTRI!J60)," ")</f>
        <v>05</v>
      </c>
      <c r="M60" s="219" t="str">
        <f>IFERROR((ENTRI!K60)," ")</f>
        <v>08</v>
      </c>
      <c r="N60" s="219">
        <f>IFERROR((ENTRI!L60)," ")</f>
        <v>1986</v>
      </c>
      <c r="O60" s="219" t="str">
        <f t="shared" si="44"/>
        <v xml:space="preserve">Trenggalek, 05-08-1986</v>
      </c>
      <c r="P60" s="219">
        <f>IFERROR((ENTRI!N60)," ")</f>
        <v>17</v>
      </c>
      <c r="Q60" s="219" t="str">
        <f>IFERROR((ENTRI!O60)," ")</f>
        <v>07</v>
      </c>
      <c r="R60" s="219">
        <f>IFERROR((ENTRI!P60)," ")</f>
        <v>2006</v>
      </c>
      <c r="S60" s="219" t="str">
        <f t="shared" si="45"/>
        <v>17-07-2006</v>
      </c>
      <c r="T60" s="219">
        <f>IFERROR((ENTRI!Q60)," ")</f>
        <v>17</v>
      </c>
      <c r="U60" s="219" t="str">
        <f>IFERROR((ENTRI!R60)," ")</f>
        <v>07</v>
      </c>
      <c r="V60" s="219">
        <f>IFERROR((ENTRI!S60)," ")</f>
        <v>2006</v>
      </c>
      <c r="W60" s="219" t="str">
        <f t="shared" si="46"/>
        <v>17-07-2006</v>
      </c>
      <c r="X60" s="219">
        <f>IFERROR((ENTRI!T60)," ")</f>
        <v>19</v>
      </c>
      <c r="Y60" s="219">
        <f>IFERROR((ENTRI!U60)," ")</f>
        <v>19</v>
      </c>
      <c r="Z60" s="219">
        <f>IFERROR((ENTRI!V60)," ")</f>
        <v>19</v>
      </c>
      <c r="AA60" s="219">
        <f>IFERROR((ENTRI!W60)," ")</f>
        <v>19</v>
      </c>
      <c r="AB60" s="219" t="str">
        <f>IFERROR((ENTRI!X60)," ")</f>
        <v>S1</v>
      </c>
      <c r="AC60" s="219" t="str">
        <f>IFERROR((ENTRI!Y60)," ")</f>
        <v>PAI</v>
      </c>
      <c r="AD60" s="219">
        <f>IFERROR((ENTRI!Z60)," ")</f>
        <v>2009</v>
      </c>
      <c r="AE60" s="219">
        <f>IFERROR((ENTRI!AA60)," ")</f>
        <v>0</v>
      </c>
      <c r="AF60" s="219">
        <f>IFERROR((ENTRI!AB60)," ")</f>
        <v>0</v>
      </c>
      <c r="AG60" s="219" t="str">
        <f>IFERROR((ENTRI!AC60)," ")</f>
        <v xml:space="preserve"> </v>
      </c>
      <c r="AH60" s="219">
        <f>IFERROR((ENTRI!AD60)," ")</f>
        <v>0</v>
      </c>
      <c r="AI60" s="219" t="str">
        <f>IFERROR((ENTRI!AE60)," ")</f>
        <v>Bhs.Indonesia</v>
      </c>
      <c r="AJ60" s="219">
        <f>IFERROR((ENTRI!AF60)," ")</f>
        <v>24</v>
      </c>
      <c r="AK60" s="219" t="str">
        <f>IFERROR((ENTRI!AG60)," ")</f>
        <v xml:space="preserve">Kepala Lab. Komputer</v>
      </c>
      <c r="AL60" s="219">
        <f>IFERROR((ENTRI!AH60)," ")</f>
        <v>12</v>
      </c>
      <c r="AM60" s="219">
        <f>IFERROR((ENTRI!AI60)," ")</f>
        <v>36</v>
      </c>
      <c r="AN60" s="219">
        <f>IFERROR((ENTRI!AJ60)," ")</f>
        <v>0</v>
      </c>
      <c r="AO60" s="219">
        <f>IFERROR((ENTRI!AK60)," ")</f>
        <v>0</v>
      </c>
      <c r="AP60" s="219">
        <f>IFERROR((ENTRI!AL60)," ")</f>
        <v>0</v>
      </c>
      <c r="AQ60" s="219">
        <f>IFERROR((ENTRI!AM60)," ")</f>
        <v>0</v>
      </c>
      <c r="AR60" s="216" t="str">
        <f>E60&amp;"."&amp;H60&amp;"."&amp;AW60&amp;"."&amp;ENTRI!$E$4</f>
        <v>06.01.053.2025</v>
      </c>
      <c r="AS60" t="str">
        <f>"YPP.QH/KP.01."&amp;E60&amp;"/"&amp;AW60&amp;"/"&amp;ENTRI!$E$4</f>
        <v>YPP.QH/KP.01.06/053/2025</v>
      </c>
      <c r="AW60" s="277" t="s">
        <v>948</v>
      </c>
    </row>
    <row r="61">
      <c r="A61">
        <f t="shared" si="47"/>
        <v>12</v>
      </c>
      <c r="B61" s="276">
        <f t="shared" si="42"/>
        <v>1988</v>
      </c>
      <c r="C61" s="277">
        <v>54</v>
      </c>
      <c r="D61" s="219" t="str">
        <f>IFERROR(IF(ENTRI!B61=$AZ$9,$BA$9,IF(ENTRI!B61=$AZ$10,$BA$10,IF(ENTRI!B61=$AZ$11,$BA$11,IF(ENTRI!B61=$AZ$12,$BA$12,IF(ENTRI!B61=$AZ$13,$BA$13,IF(ENTRI!B61=$AZ$14,$BA$14,IF(ENTRI!B61=$AZ$15,$BA$15,IF(ENTRI!B61=$AZ$16,$BA$16,IF(ENTRI!B61=$AZ$17,$BA$17,IF(ENTRI!B61=$AZ$18,$BA$18," "))))))))))," ")</f>
        <v xml:space="preserve">SMK Qomarul Hidayah 1 Tugu</v>
      </c>
      <c r="E61" s="219" t="str">
        <f>IFERROR((ENTRI!C61)," ")</f>
        <v>06</v>
      </c>
      <c r="F61" s="219">
        <f t="shared" si="43"/>
        <v>12</v>
      </c>
      <c r="G61" s="219" t="str">
        <f>IFERROR((ENTRI!E61)," ")</f>
        <v>Guru</v>
      </c>
      <c r="H61" s="219" t="str">
        <f>IFERROR((ENTRI!F61)," ")</f>
        <v>01</v>
      </c>
      <c r="I61" s="219" t="str">
        <f>IFERROR((ENTRI!G61)," ")</f>
        <v xml:space="preserve">LINARSIH, S.Pd</v>
      </c>
      <c r="J61" s="219" t="str">
        <f>IFERROR((ENTRI!H61)," ")</f>
        <v xml:space="preserve">19690508  199507 06 01 59</v>
      </c>
      <c r="K61" s="219" t="str">
        <f>IFERROR((ENTRI!I61)," ")</f>
        <v>Trenggalek</v>
      </c>
      <c r="L61" s="219" t="str">
        <f>IFERROR((ENTRI!J61)," ")</f>
        <v>08</v>
      </c>
      <c r="M61" s="219" t="str">
        <f>IFERROR((ENTRI!K61)," ")</f>
        <v>05</v>
      </c>
      <c r="N61" s="219">
        <f>IFERROR((ENTRI!L61)," ")</f>
        <v>1969</v>
      </c>
      <c r="O61" s="219" t="str">
        <f t="shared" si="44"/>
        <v xml:space="preserve">Trenggalek, 08-05-1969</v>
      </c>
      <c r="P61" s="219">
        <f>IFERROR((ENTRI!N61)," ")</f>
        <v>18</v>
      </c>
      <c r="Q61" s="219" t="str">
        <f>IFERROR((ENTRI!O61)," ")</f>
        <v>07</v>
      </c>
      <c r="R61" s="219">
        <f>IFERROR((ENTRI!P61)," ")</f>
        <v>1995</v>
      </c>
      <c r="S61" s="219" t="str">
        <f t="shared" si="45"/>
        <v>18-07-1995</v>
      </c>
      <c r="T61" s="219">
        <f>IFERROR((ENTRI!Q61)," ")</f>
        <v>18</v>
      </c>
      <c r="U61" s="219" t="str">
        <f>IFERROR((ENTRI!R61)," ")</f>
        <v>07</v>
      </c>
      <c r="V61" s="219">
        <f>IFERROR((ENTRI!S61)," ")</f>
        <v>1995</v>
      </c>
      <c r="W61" s="219" t="str">
        <f t="shared" si="46"/>
        <v>18-07-1995</v>
      </c>
      <c r="X61" s="219">
        <f>IFERROR((ENTRI!T61)," ")</f>
        <v>30</v>
      </c>
      <c r="Y61" s="219">
        <f>IFERROR((ENTRI!U61)," ")</f>
        <v>30</v>
      </c>
      <c r="Z61" s="219">
        <f>IFERROR((ENTRI!V61)," ")</f>
        <v>30</v>
      </c>
      <c r="AA61" s="219">
        <f>IFERROR((ENTRI!W61)," ")</f>
        <v>30</v>
      </c>
      <c r="AB61" s="219" t="str">
        <f>IFERROR((ENTRI!X61)," ")</f>
        <v>S1</v>
      </c>
      <c r="AC61" s="219" t="str">
        <f>IFERROR((ENTRI!Y61)," ")</f>
        <v>Bhs.INDONESIA</v>
      </c>
      <c r="AD61" s="219">
        <f>IFERROR((ENTRI!Z61)," ")</f>
        <v>1994</v>
      </c>
      <c r="AE61" s="219" t="str">
        <f>IFERROR((ENTRI!AA61)," ")</f>
        <v>SUDAH</v>
      </c>
      <c r="AF61" s="219" t="str">
        <f>IFERROR((ENTRI!AB61)," ")</f>
        <v xml:space="preserve">GURU DEWASA</v>
      </c>
      <c r="AG61" s="219" t="str">
        <f>IFERROR((ENTRI!AC61)," ")</f>
        <v xml:space="preserve"> </v>
      </c>
      <c r="AH61" s="219" t="str">
        <f>IFERROR((ENTRI!AD61)," ")</f>
        <v xml:space="preserve">IV A</v>
      </c>
      <c r="AI61" s="219">
        <f>IFERROR((ENTRI!AE61)," ")</f>
        <v>0</v>
      </c>
      <c r="AJ61" s="219">
        <f>IFERROR((ENTRI!AF61)," ")</f>
        <v>0</v>
      </c>
      <c r="AK61" s="219" t="str">
        <f>IFERROR((ENTRI!AG61)," ")</f>
        <v xml:space="preserve">Waka Kesiswaan</v>
      </c>
      <c r="AL61" s="219">
        <f>IFERROR((ENTRI!AH61)," ")</f>
        <v>12</v>
      </c>
      <c r="AM61" s="219">
        <f>IFERROR((ENTRI!AI61)," ")</f>
        <v>12</v>
      </c>
      <c r="AN61" s="219" t="str">
        <f>IFERROR((ENTRI!AJ61)," ")</f>
        <v>SUDAH</v>
      </c>
      <c r="AO61" s="219">
        <f>IFERROR((ENTRI!AK61)," ")</f>
        <v>2010</v>
      </c>
      <c r="AP61" s="219">
        <f>IFERROR((ENTRI!AL61)," ")</f>
        <v>101488912013</v>
      </c>
      <c r="AQ61" s="219">
        <f>IFERROR((ENTRI!AM61)," ")</f>
        <v>0</v>
      </c>
      <c r="AR61" s="216" t="str">
        <f>E61&amp;"."&amp;H61&amp;"."&amp;AW61&amp;"."&amp;ENTRI!$E$4</f>
        <v>06.01.054.2025</v>
      </c>
      <c r="AS61" t="str">
        <f>"YPP.QH/KP.01."&amp;E61&amp;"/"&amp;AW61&amp;"/"&amp;ENTRI!$E$4</f>
        <v>YPP.QH/KP.01.06/054/2025</v>
      </c>
      <c r="AW61" s="277" t="s">
        <v>949</v>
      </c>
    </row>
    <row r="62">
      <c r="A62">
        <f t="shared" si="47"/>
        <v>86</v>
      </c>
      <c r="B62" s="276">
        <f t="shared" si="42"/>
        <v>2006</v>
      </c>
      <c r="C62" s="277">
        <v>55</v>
      </c>
      <c r="D62" s="219" t="str">
        <f>IFERROR(IF(ENTRI!B62=$AZ$9,$BA$9,IF(ENTRI!B62=$AZ$10,$BA$10,IF(ENTRI!B62=$AZ$11,$BA$11,IF(ENTRI!B62=$AZ$12,$BA$12,IF(ENTRI!B62=$AZ$13,$BA$13,IF(ENTRI!B62=$AZ$14,$BA$14,IF(ENTRI!B62=$AZ$15,$BA$15,IF(ENTRI!B62=$AZ$16,$BA$16,IF(ENTRI!B62=$AZ$17,$BA$17,IF(ENTRI!B62=$AZ$18,$BA$18," "))))))))))," ")</f>
        <v xml:space="preserve">SMK Qomarul Hidayah 1 Tugu</v>
      </c>
      <c r="E62" s="219" t="str">
        <f>IFERROR((ENTRI!C62)," ")</f>
        <v>06</v>
      </c>
      <c r="F62" s="219">
        <f t="shared" si="43"/>
        <v>86</v>
      </c>
      <c r="G62" s="219" t="str">
        <f>IFERROR((ENTRI!E62)," ")</f>
        <v>Guru</v>
      </c>
      <c r="H62" s="219" t="str">
        <f>IFERROR((ENTRI!F62)," ")</f>
        <v>01</v>
      </c>
      <c r="I62" s="219" t="str">
        <f>IFERROR((ENTRI!G62)," ")</f>
        <v xml:space="preserve">NUR MAWADAH,S.Pd</v>
      </c>
      <c r="J62" s="219" t="str">
        <f>IFERROR((ENTRI!H62)," ")</f>
        <v xml:space="preserve">19940426  201307 06 01 </v>
      </c>
      <c r="K62" s="219" t="str">
        <f>IFERROR((ENTRI!I62)," ")</f>
        <v>Trenggalek</v>
      </c>
      <c r="L62" s="219">
        <f>IFERROR((ENTRI!J62)," ")</f>
        <v>26</v>
      </c>
      <c r="M62" s="219" t="str">
        <f>IFERROR((ENTRI!K62)," ")</f>
        <v>04</v>
      </c>
      <c r="N62" s="219">
        <f>IFERROR((ENTRI!L62)," ")</f>
        <v>1994</v>
      </c>
      <c r="O62" s="219" t="str">
        <f t="shared" si="44"/>
        <v xml:space="preserve">Trenggalek, 26-04-1994</v>
      </c>
      <c r="P62" s="219">
        <f>IFERROR((ENTRI!N62)," ")</f>
        <v>14</v>
      </c>
      <c r="Q62" s="219" t="str">
        <f>IFERROR((ENTRI!O62)," ")</f>
        <v>07</v>
      </c>
      <c r="R62" s="219">
        <f>IFERROR((ENTRI!P62)," ")</f>
        <v>2013</v>
      </c>
      <c r="S62" s="219" t="str">
        <f t="shared" si="45"/>
        <v>14-07-2013</v>
      </c>
      <c r="T62" s="219">
        <f>IFERROR((ENTRI!Q62)," ")</f>
        <v>14</v>
      </c>
      <c r="U62" s="219" t="str">
        <f>IFERROR((ENTRI!R62)," ")</f>
        <v>07</v>
      </c>
      <c r="V62" s="219">
        <f>IFERROR((ENTRI!S62)," ")</f>
        <v>2013</v>
      </c>
      <c r="W62" s="219" t="str">
        <f t="shared" si="46"/>
        <v>14-07-2013</v>
      </c>
      <c r="X62" s="219">
        <f>IFERROR((ENTRI!T62)," ")</f>
        <v>12</v>
      </c>
      <c r="Y62" s="219">
        <f>IFERROR((ENTRI!U62)," ")</f>
        <v>12</v>
      </c>
      <c r="Z62" s="219">
        <f>IFERROR((ENTRI!V62)," ")</f>
        <v>12</v>
      </c>
      <c r="AA62" s="219">
        <f>IFERROR((ENTRI!W62)," ")</f>
        <v>12</v>
      </c>
      <c r="AB62" s="219" t="str">
        <f>IFERROR((ENTRI!X62)," ")</f>
        <v>S1</v>
      </c>
      <c r="AC62" s="219" t="str">
        <f>IFERROR((ENTRI!Y62)," ")</f>
        <v xml:space="preserve">BAHASA INGGRIS</v>
      </c>
      <c r="AD62" s="219">
        <f>IFERROR((ENTRI!Z62)," ")</f>
        <v>2009</v>
      </c>
      <c r="AE62" s="219">
        <f>IFERROR((ENTRI!AA62)," ")</f>
        <v>0</v>
      </c>
      <c r="AF62" s="219">
        <f>IFERROR((ENTRI!AB62)," ")</f>
        <v>0</v>
      </c>
      <c r="AG62" s="219" t="str">
        <f>IFERROR((ENTRI!AC62)," ")</f>
        <v xml:space="preserve"> </v>
      </c>
      <c r="AH62" s="219">
        <f>IFERROR((ENTRI!AD62)," ")</f>
        <v>0</v>
      </c>
      <c r="AI62" s="219" t="str">
        <f>IFERROR((ENTRI!AE62)," ")</f>
        <v>kwu</v>
      </c>
      <c r="AJ62" s="219">
        <f>IFERROR((ENTRI!AF62)," ")</f>
        <v>0</v>
      </c>
      <c r="AK62" s="219" t="str">
        <f>IFERROR((ENTRI!AG62)," ")</f>
        <v>-</v>
      </c>
      <c r="AL62" s="219" t="str">
        <f>IFERROR((ENTRI!AH62)," ")</f>
        <v>-</v>
      </c>
      <c r="AM62" s="219" t="str">
        <f>IFERROR((ENTRI!AI62)," ")</f>
        <v xml:space="preserve"> </v>
      </c>
      <c r="AN62" s="219">
        <f>IFERROR((ENTRI!AJ62)," ")</f>
        <v>0</v>
      </c>
      <c r="AO62" s="219">
        <f>IFERROR((ENTRI!AK62)," ")</f>
        <v>0</v>
      </c>
      <c r="AP62" s="219">
        <f>IFERROR((ENTRI!AL62)," ")</f>
        <v>0</v>
      </c>
      <c r="AQ62" s="219">
        <f>IFERROR((ENTRI!AM62)," ")</f>
        <v>0</v>
      </c>
      <c r="AR62" s="216" t="str">
        <f>E62&amp;"."&amp;H62&amp;"."&amp;AW62&amp;"."&amp;ENTRI!$E$4</f>
        <v>06.01.055.2025</v>
      </c>
      <c r="AS62" t="str">
        <f>"YPP.QH/KP.01."&amp;E62&amp;"/"&amp;AW62&amp;"/"&amp;ENTRI!$E$4</f>
        <v>YPP.QH/KP.01.06/055/2025</v>
      </c>
      <c r="AW62" s="277" t="s">
        <v>950</v>
      </c>
    </row>
    <row r="63">
      <c r="A63">
        <f t="shared" si="47"/>
        <v>60</v>
      </c>
      <c r="B63" s="276">
        <f t="shared" si="42"/>
        <v>2001</v>
      </c>
      <c r="C63" s="277">
        <v>56</v>
      </c>
      <c r="D63" s="219" t="str">
        <f>IFERROR(IF(ENTRI!B63=$AZ$9,$BA$9,IF(ENTRI!B63=$AZ$10,$BA$10,IF(ENTRI!B63=$AZ$11,$BA$11,IF(ENTRI!B63=$AZ$12,$BA$12,IF(ENTRI!B63=$AZ$13,$BA$13,IF(ENTRI!B63=$AZ$14,$BA$14,IF(ENTRI!B63=$AZ$15,$BA$15,IF(ENTRI!B63=$AZ$16,$BA$16,IF(ENTRI!B63=$AZ$17,$BA$17,IF(ENTRI!B63=$AZ$18,$BA$18," "))))))))))," ")</f>
        <v xml:space="preserve">SMK Qomarul Hidayah 1 Tugu</v>
      </c>
      <c r="E63" s="219" t="str">
        <f>IFERROR((ENTRI!C63)," ")</f>
        <v>06</v>
      </c>
      <c r="F63" s="219">
        <f t="shared" si="43"/>
        <v>60</v>
      </c>
      <c r="G63" s="219" t="str">
        <f>IFERROR((ENTRI!E63)," ")</f>
        <v>Guru</v>
      </c>
      <c r="H63" s="219" t="str">
        <f>IFERROR((ENTRI!F63)," ")</f>
        <v>01</v>
      </c>
      <c r="I63" s="219" t="str">
        <f>IFERROR((ENTRI!G63)," ")</f>
        <v xml:space="preserve">WIJIARSO, S.E</v>
      </c>
      <c r="J63" s="219" t="str">
        <f>IFERROR((ENTRI!H63)," ")</f>
        <v xml:space="preserve">19791222  200807 06 01 07</v>
      </c>
      <c r="K63" s="219" t="str">
        <f>IFERROR((ENTRI!I63)," ")</f>
        <v>Trenggalek</v>
      </c>
      <c r="L63" s="219">
        <f>IFERROR((ENTRI!J63)," ")</f>
        <v>22</v>
      </c>
      <c r="M63" s="219">
        <f>IFERROR((ENTRI!K63)," ")</f>
        <v>12</v>
      </c>
      <c r="N63" s="219">
        <f>IFERROR((ENTRI!L63)," ")</f>
        <v>1979</v>
      </c>
      <c r="O63" s="219" t="str">
        <f t="shared" si="44"/>
        <v xml:space="preserve">Trenggalek, 22-12-1979</v>
      </c>
      <c r="P63" s="219" t="str">
        <f>IFERROR((ENTRI!N63)," ")</f>
        <v>16</v>
      </c>
      <c r="Q63" s="219" t="str">
        <f>IFERROR((ENTRI!O63)," ")</f>
        <v>07</v>
      </c>
      <c r="R63" s="219">
        <f>IFERROR((ENTRI!P63)," ")</f>
        <v>2008</v>
      </c>
      <c r="S63" s="219" t="str">
        <f t="shared" si="45"/>
        <v>16-07-2008</v>
      </c>
      <c r="T63" s="219" t="str">
        <f>IFERROR((ENTRI!Q63)," ")</f>
        <v>16</v>
      </c>
      <c r="U63" s="219" t="str">
        <f>IFERROR((ENTRI!R63)," ")</f>
        <v>07</v>
      </c>
      <c r="V63" s="219">
        <f>IFERROR((ENTRI!S63)," ")</f>
        <v>2008</v>
      </c>
      <c r="W63" s="219" t="str">
        <f t="shared" si="46"/>
        <v>16-07-2008</v>
      </c>
      <c r="X63" s="219">
        <f>IFERROR((ENTRI!T63)," ")</f>
        <v>17</v>
      </c>
      <c r="Y63" s="219">
        <f>IFERROR((ENTRI!U63)," ")</f>
        <v>17</v>
      </c>
      <c r="Z63" s="219">
        <f>IFERROR((ENTRI!V63)," ")</f>
        <v>17</v>
      </c>
      <c r="AA63" s="219">
        <f>IFERROR((ENTRI!W63)," ")</f>
        <v>17</v>
      </c>
      <c r="AB63" s="219" t="str">
        <f>IFERROR((ENTRI!X63)," ")</f>
        <v>S1</v>
      </c>
      <c r="AC63" s="219" t="str">
        <f>IFERROR((ENTRI!Y63)," ")</f>
        <v xml:space="preserve">Ekonomi </v>
      </c>
      <c r="AD63" s="219">
        <f>IFERROR((ENTRI!Z63)," ")</f>
        <v>2003</v>
      </c>
      <c r="AE63" s="219">
        <f>IFERROR((ENTRI!AA63)," ")</f>
        <v>0</v>
      </c>
      <c r="AF63" s="219">
        <f>IFERROR((ENTRI!AB63)," ")</f>
        <v>0</v>
      </c>
      <c r="AG63" s="219" t="str">
        <f>IFERROR((ENTRI!AC63)," ")</f>
        <v xml:space="preserve"> </v>
      </c>
      <c r="AH63" s="219">
        <f>IFERROR((ENTRI!AD63)," ")</f>
        <v>0</v>
      </c>
      <c r="AI63" s="219">
        <f>IFERROR((ENTRI!AE63)," ")</f>
        <v>0</v>
      </c>
      <c r="AJ63" s="219">
        <f>IFERROR((ENTRI!AF63)," ")</f>
        <v>0</v>
      </c>
      <c r="AK63" s="219" t="str">
        <f>IFERROR((ENTRI!AG63)," ")</f>
        <v>-</v>
      </c>
      <c r="AL63" s="219" t="str">
        <f>IFERROR((ENTRI!AH63)," ")</f>
        <v>-</v>
      </c>
      <c r="AM63" s="219" t="str">
        <f>IFERROR((ENTRI!AI63)," ")</f>
        <v xml:space="preserve"> </v>
      </c>
      <c r="AN63" s="219">
        <f>IFERROR((ENTRI!AJ63)," ")</f>
        <v>0</v>
      </c>
      <c r="AO63" s="219">
        <f>IFERROR((ENTRI!AK63)," ")</f>
        <v>0</v>
      </c>
      <c r="AP63" s="219">
        <f>IFERROR((ENTRI!AL63)," ")</f>
        <v>0</v>
      </c>
      <c r="AQ63" s="219">
        <f>IFERROR((ENTRI!AM63)," ")</f>
        <v>0</v>
      </c>
      <c r="AR63" s="216" t="str">
        <f>E63&amp;"."&amp;H63&amp;"."&amp;AW63&amp;"."&amp;ENTRI!$E$4</f>
        <v>06.01.056.2025</v>
      </c>
      <c r="AS63" t="str">
        <f>"YPP.QH/KP.01."&amp;E63&amp;"/"&amp;AW63&amp;"/"&amp;ENTRI!$E$4</f>
        <v>YPP.QH/KP.01.06/056/2025</v>
      </c>
      <c r="AW63" s="277" t="s">
        <v>951</v>
      </c>
    </row>
    <row r="64">
      <c r="A64">
        <f t="shared" si="47"/>
        <v>86</v>
      </c>
      <c r="B64" s="276">
        <f t="shared" si="42"/>
        <v>2006</v>
      </c>
      <c r="C64" s="277">
        <v>57</v>
      </c>
      <c r="D64" s="219" t="str">
        <f>IFERROR(IF(ENTRI!B64=$AZ$9,$BA$9,IF(ENTRI!B64=$AZ$10,$BA$10,IF(ENTRI!B64=$AZ$11,$BA$11,IF(ENTRI!B64=$AZ$12,$BA$12,IF(ENTRI!B64=$AZ$13,$BA$13,IF(ENTRI!B64=$AZ$14,$BA$14,IF(ENTRI!B64=$AZ$15,$BA$15,IF(ENTRI!B64=$AZ$16,$BA$16,IF(ENTRI!B64=$AZ$17,$BA$17,IF(ENTRI!B64=$AZ$18,$BA$18," "))))))))))," ")</f>
        <v xml:space="preserve">SMK Qomarul Hidayah 1 Tugu</v>
      </c>
      <c r="E64" s="219" t="str">
        <f>IFERROR((ENTRI!C64)," ")</f>
        <v>06</v>
      </c>
      <c r="F64" s="219">
        <f t="shared" si="43"/>
        <v>86</v>
      </c>
      <c r="G64" s="219" t="str">
        <f>IFERROR((ENTRI!E64)," ")</f>
        <v>Guru</v>
      </c>
      <c r="H64" s="219" t="str">
        <f>IFERROR((ENTRI!F64)," ")</f>
        <v>01</v>
      </c>
      <c r="I64" s="219" t="str">
        <f>IFERROR((ENTRI!G64)," ")</f>
        <v xml:space="preserve">AHMAD SHOFAUL NGABIDIN, S.Pd.</v>
      </c>
      <c r="J64" s="219" t="str">
        <f>IFERROR((ENTRI!H64)," ")</f>
        <v xml:space="preserve">19941206  201307 06 01 34</v>
      </c>
      <c r="K64" s="219" t="str">
        <f>IFERROR((ENTRI!I64)," ")</f>
        <v>Trenggalek</v>
      </c>
      <c r="L64" s="219" t="str">
        <f>IFERROR((ENTRI!J64)," ")</f>
        <v>06</v>
      </c>
      <c r="M64" s="219">
        <f>IFERROR((ENTRI!K64)," ")</f>
        <v>12</v>
      </c>
      <c r="N64" s="219">
        <f>IFERROR((ENTRI!L64)," ")</f>
        <v>1994</v>
      </c>
      <c r="O64" s="219" t="str">
        <f t="shared" si="44"/>
        <v xml:space="preserve">Trenggalek, 06-12-1994</v>
      </c>
      <c r="P64" s="219">
        <f>IFERROR((ENTRI!N64)," ")</f>
        <v>14</v>
      </c>
      <c r="Q64" s="219" t="str">
        <f>IFERROR((ENTRI!O64)," ")</f>
        <v>07</v>
      </c>
      <c r="R64" s="219">
        <f>IFERROR((ENTRI!P64)," ")</f>
        <v>2013</v>
      </c>
      <c r="S64" s="219" t="str">
        <f t="shared" si="45"/>
        <v>14-07-2013</v>
      </c>
      <c r="T64" s="219">
        <f>IFERROR((ENTRI!Q64)," ")</f>
        <v>14</v>
      </c>
      <c r="U64" s="219" t="str">
        <f>IFERROR((ENTRI!R64)," ")</f>
        <v>07</v>
      </c>
      <c r="V64" s="219">
        <f>IFERROR((ENTRI!S64)," ")</f>
        <v>2013</v>
      </c>
      <c r="W64" s="219" t="str">
        <f t="shared" si="46"/>
        <v>14-07-2013</v>
      </c>
      <c r="X64" s="219">
        <f>IFERROR((ENTRI!T64)," ")</f>
        <v>12</v>
      </c>
      <c r="Y64" s="219">
        <f>IFERROR((ENTRI!U64)," ")</f>
        <v>12</v>
      </c>
      <c r="Z64" s="219">
        <f>IFERROR((ENTRI!V64)," ")</f>
        <v>12</v>
      </c>
      <c r="AA64" s="219">
        <f>IFERROR((ENTRI!W64)," ")</f>
        <v>12</v>
      </c>
      <c r="AB64" s="219" t="str">
        <f>IFERROR((ENTRI!X64)," ")</f>
        <v>S1</v>
      </c>
      <c r="AC64" s="219" t="str">
        <f>IFERROR((ENTRI!Y64)," ")</f>
        <v>PAI</v>
      </c>
      <c r="AD64" s="219">
        <f>IFERROR((ENTRI!Z64)," ")</f>
        <v>2013</v>
      </c>
      <c r="AE64" s="219">
        <f>IFERROR((ENTRI!AA64)," ")</f>
        <v>0</v>
      </c>
      <c r="AF64" s="219">
        <f>IFERROR((ENTRI!AB64)," ")</f>
        <v>0</v>
      </c>
      <c r="AG64" s="219" t="str">
        <f>IFERROR((ENTRI!AC64)," ")</f>
        <v xml:space="preserve"> </v>
      </c>
      <c r="AH64" s="219">
        <f>IFERROR((ENTRI!AD64)," ")</f>
        <v>0</v>
      </c>
      <c r="AI64" s="219">
        <f>IFERROR((ENTRI!AE64)," ")</f>
        <v>0</v>
      </c>
      <c r="AJ64" s="219">
        <f>IFERROR((ENTRI!AF64)," ")</f>
        <v>0</v>
      </c>
      <c r="AK64" s="219" t="str">
        <f>IFERROR((ENTRI!AG64)," ")</f>
        <v>-</v>
      </c>
      <c r="AL64" s="219" t="str">
        <f>IFERROR((ENTRI!AH64)," ")</f>
        <v>-</v>
      </c>
      <c r="AM64" s="219" t="str">
        <f>IFERROR((ENTRI!AI64)," ")</f>
        <v xml:space="preserve"> </v>
      </c>
      <c r="AN64" s="219">
        <f>IFERROR((ENTRI!AJ64)," ")</f>
        <v>0</v>
      </c>
      <c r="AO64" s="219">
        <f>IFERROR((ENTRI!AK64)," ")</f>
        <v>0</v>
      </c>
      <c r="AP64" s="219">
        <f>IFERROR((ENTRI!AL64)," ")</f>
        <v>0</v>
      </c>
      <c r="AQ64" s="219">
        <f>IFERROR((ENTRI!AM64)," ")</f>
        <v>0</v>
      </c>
      <c r="AR64" s="216" t="str">
        <f>E64&amp;"."&amp;H64&amp;"."&amp;AW64&amp;"."&amp;ENTRI!$E$4</f>
        <v>06.01.057.2025</v>
      </c>
      <c r="AS64" t="str">
        <f>"YPP.QH/KP.01."&amp;E64&amp;"/"&amp;AW64&amp;"/"&amp;ENTRI!$E$4</f>
        <v>YPP.QH/KP.01.06/057/2025</v>
      </c>
      <c r="AW64" s="277" t="s">
        <v>952</v>
      </c>
    </row>
    <row r="65">
      <c r="A65">
        <f t="shared" si="47"/>
        <v>3</v>
      </c>
      <c r="B65" s="276">
        <f t="shared" si="42"/>
        <v>1980</v>
      </c>
      <c r="C65" s="277">
        <v>58</v>
      </c>
      <c r="D65" s="219" t="str">
        <f>IFERROR(IF(ENTRI!B65=$AZ$9,$BA$9,IF(ENTRI!B65=$AZ$10,$BA$10,IF(ENTRI!B65=$AZ$11,$BA$11,IF(ENTRI!B65=$AZ$12,$BA$12,IF(ENTRI!B65=$AZ$13,$BA$13,IF(ENTRI!B65=$AZ$14,$BA$14,IF(ENTRI!B65=$AZ$15,$BA$15,IF(ENTRI!B65=$AZ$16,$BA$16,IF(ENTRI!B65=$AZ$17,$BA$17,IF(ENTRI!B65=$AZ$18,$BA$18," "))))))))))," ")</f>
        <v xml:space="preserve">SMK Qomarul Hidayah 1 Tugu</v>
      </c>
      <c r="E65" s="219" t="str">
        <f>IFERROR((ENTRI!C65)," ")</f>
        <v>06</v>
      </c>
      <c r="F65" s="219">
        <f t="shared" si="43"/>
        <v>3</v>
      </c>
      <c r="G65" s="219" t="str">
        <f>IFERROR((ENTRI!E65)," ")</f>
        <v>Guru</v>
      </c>
      <c r="H65" s="219" t="str">
        <f>IFERROR((ENTRI!F65)," ")</f>
        <v>01</v>
      </c>
      <c r="I65" s="219" t="str">
        <f>IFERROR((ENTRI!G65)," ")</f>
        <v xml:space="preserve">Drs. PAMUJI</v>
      </c>
      <c r="J65" s="219" t="str">
        <f>IFERROR((ENTRI!H65)," ")</f>
        <v xml:space="preserve">19660121  198707 06 01 54</v>
      </c>
      <c r="K65" s="219" t="str">
        <f>IFERROR((ENTRI!I65)," ")</f>
        <v>Trenggalek</v>
      </c>
      <c r="L65" s="219" t="str">
        <f>IFERROR((ENTRI!J65)," ")</f>
        <v>21</v>
      </c>
      <c r="M65" s="219" t="str">
        <f>IFERROR((ENTRI!K65)," ")</f>
        <v>01</v>
      </c>
      <c r="N65" s="219">
        <f>IFERROR((ENTRI!L65)," ")</f>
        <v>1966</v>
      </c>
      <c r="O65" s="219" t="str">
        <f t="shared" si="44"/>
        <v xml:space="preserve">Trenggalek, 21-01-1966</v>
      </c>
      <c r="P65" s="219" t="str">
        <f>IFERROR((ENTRI!N65)," ")</f>
        <v>18</v>
      </c>
      <c r="Q65" s="219" t="str">
        <f>IFERROR((ENTRI!O65)," ")</f>
        <v>07</v>
      </c>
      <c r="R65" s="219">
        <f>IFERROR((ENTRI!P65)," ")</f>
        <v>1987</v>
      </c>
      <c r="S65" s="219" t="str">
        <f t="shared" si="45"/>
        <v>18-07-1987</v>
      </c>
      <c r="T65" s="219" t="str">
        <f>IFERROR((ENTRI!Q65)," ")</f>
        <v>18</v>
      </c>
      <c r="U65" s="219" t="str">
        <f>IFERROR((ENTRI!R65)," ")</f>
        <v>07</v>
      </c>
      <c r="V65" s="219">
        <f>IFERROR((ENTRI!S65)," ")</f>
        <v>1987</v>
      </c>
      <c r="W65" s="219" t="str">
        <f t="shared" si="46"/>
        <v>18-07-1987</v>
      </c>
      <c r="X65" s="219">
        <f>IFERROR((ENTRI!T65)," ")</f>
        <v>27</v>
      </c>
      <c r="Y65" s="219">
        <f>IFERROR((ENTRI!U65)," ")</f>
        <v>27</v>
      </c>
      <c r="Z65" s="219">
        <f>IFERROR((ENTRI!V65)," ")</f>
        <v>27</v>
      </c>
      <c r="AA65" s="219">
        <f>IFERROR((ENTRI!W65)," ")</f>
        <v>27</v>
      </c>
      <c r="AB65" s="219" t="str">
        <f>IFERROR((ENTRI!X65)," ")</f>
        <v>S1</v>
      </c>
      <c r="AC65" s="219" t="str">
        <f>IFERROR((ENTRI!Y65)," ")</f>
        <v>Matematika</v>
      </c>
      <c r="AD65" s="219">
        <f>IFERROR((ENTRI!Z65)," ")</f>
        <v>1992</v>
      </c>
      <c r="AE65" s="219" t="str">
        <f>IFERROR((ENTRI!AA65)," ")</f>
        <v>SUDAH</v>
      </c>
      <c r="AF65" s="219">
        <f>IFERROR((ENTRI!AB65)," ")</f>
        <v>0</v>
      </c>
      <c r="AG65" s="219" t="str">
        <f>IFERROR((ENTRI!AC65)," ")</f>
        <v xml:space="preserve">WA / Pembina</v>
      </c>
      <c r="AH65" s="219">
        <f>IFERROR((ENTRI!AD65)," ")</f>
        <v>0</v>
      </c>
      <c r="AI65" s="219" t="str">
        <f>IFERROR((ENTRI!AE65)," ")</f>
        <v>Matematika</v>
      </c>
      <c r="AJ65" s="219">
        <f>IFERROR((ENTRI!AF65)," ")</f>
        <v>0</v>
      </c>
      <c r="AK65" s="219">
        <f>IFERROR((ENTRI!AG65)," ")</f>
        <v>0</v>
      </c>
      <c r="AL65" s="219">
        <f>IFERROR((ENTRI!AH65)," ")</f>
        <v>0</v>
      </c>
      <c r="AM65" s="219">
        <f>IFERROR((ENTRI!AI65)," ")</f>
        <v>0</v>
      </c>
      <c r="AN65" s="219">
        <f>IFERROR((ENTRI!AJ65)," ")</f>
        <v>0</v>
      </c>
      <c r="AO65" s="219">
        <f>IFERROR((ENTRI!AK65)," ")</f>
        <v>0</v>
      </c>
      <c r="AP65" s="219" t="str">
        <f>IFERROR((ENTRI!AL65)," ")</f>
        <v>082285397003</v>
      </c>
      <c r="AQ65" s="219" t="str">
        <f>IFERROR((ENTRI!AM65)," ")</f>
        <v>9453738641200002</v>
      </c>
      <c r="AR65" s="216" t="str">
        <f>E65&amp;"."&amp;H65&amp;"."&amp;AW65&amp;"."&amp;ENTRI!$E$4</f>
        <v>06.01.058.2025</v>
      </c>
      <c r="AS65" t="str">
        <f>"YPP.QH/KP.01."&amp;E65&amp;"/"&amp;AW65&amp;"/"&amp;ENTRI!$E$4</f>
        <v>YPP.QH/KP.01.06/058/2025</v>
      </c>
      <c r="AW65" s="277" t="s">
        <v>953</v>
      </c>
    </row>
    <row r="66">
      <c r="A66">
        <f t="shared" si="47"/>
        <v>82</v>
      </c>
      <c r="B66" s="276">
        <f t="shared" si="42"/>
        <v>2005</v>
      </c>
      <c r="C66" s="277">
        <v>59</v>
      </c>
      <c r="D66" s="219" t="str">
        <f>IFERROR(IF(ENTRI!B66=$AZ$9,$BA$9,IF(ENTRI!B66=$AZ$10,$BA$10,IF(ENTRI!B66=$AZ$11,$BA$11,IF(ENTRI!B66=$AZ$12,$BA$12,IF(ENTRI!B66=$AZ$13,$BA$13,IF(ENTRI!B66=$AZ$14,$BA$14,IF(ENTRI!B66=$AZ$15,$BA$15,IF(ENTRI!B66=$AZ$16,$BA$16,IF(ENTRI!B66=$AZ$17,$BA$17,IF(ENTRI!B66=$AZ$18,$BA$18," "))))))))))," ")</f>
        <v xml:space="preserve">SMK Qomarul Hidayah 1 Tugu</v>
      </c>
      <c r="E66" s="219" t="str">
        <f>IFERROR((ENTRI!C66)," ")</f>
        <v>06</v>
      </c>
      <c r="F66" s="219">
        <f t="shared" si="43"/>
        <v>82</v>
      </c>
      <c r="G66" s="219" t="str">
        <f>IFERROR((ENTRI!E66)," ")</f>
        <v>Guru</v>
      </c>
      <c r="H66" s="219" t="str">
        <f>IFERROR((ENTRI!F66)," ")</f>
        <v>01</v>
      </c>
      <c r="I66" s="219" t="str">
        <f>IFERROR((ENTRI!G66)," ")</f>
        <v xml:space="preserve">TOMY BAYU PUTRANTO, S.Pd</v>
      </c>
      <c r="J66" s="219" t="str">
        <f>IFERROR((ENTRI!H66)," ")</f>
        <v xml:space="preserve">19860716 I4 201207 06 01 07</v>
      </c>
      <c r="K66" s="219" t="str">
        <f>IFERROR((ENTRI!I66)," ")</f>
        <v>Pacitan</v>
      </c>
      <c r="L66" s="219" t="str">
        <f>IFERROR((ENTRI!J66)," ")</f>
        <v>16</v>
      </c>
      <c r="M66" s="219" t="str">
        <f>IFERROR((ENTRI!K66)," ")</f>
        <v>07</v>
      </c>
      <c r="N66" s="219">
        <f>IFERROR((ENTRI!L66)," ")</f>
        <v>1986</v>
      </c>
      <c r="O66" s="219" t="str">
        <f t="shared" si="44"/>
        <v xml:space="preserve">Pacitan, 16-07-1986</v>
      </c>
      <c r="P66" s="219" t="str">
        <f>IFERROR((ENTRI!N66)," ")</f>
        <v>01</v>
      </c>
      <c r="Q66" s="219" t="str">
        <f>IFERROR((ENTRI!O66)," ")</f>
        <v>07</v>
      </c>
      <c r="R66" s="219">
        <f>IFERROR((ENTRI!P66)," ")</f>
        <v>2012</v>
      </c>
      <c r="S66" s="219" t="str">
        <f t="shared" si="45"/>
        <v>01-07-2012</v>
      </c>
      <c r="T66" s="219" t="str">
        <f>IFERROR((ENTRI!Q66)," ")</f>
        <v>01</v>
      </c>
      <c r="U66" s="219" t="str">
        <f>IFERROR((ENTRI!R66)," ")</f>
        <v>07</v>
      </c>
      <c r="V66" s="219">
        <f>IFERROR((ENTRI!S66)," ")</f>
        <v>2012</v>
      </c>
      <c r="W66" s="219" t="str">
        <f t="shared" si="46"/>
        <v>01-07-2012</v>
      </c>
      <c r="X66" s="219">
        <f>IFERROR((ENTRI!T66)," ")</f>
        <v>2</v>
      </c>
      <c r="Y66" s="219">
        <f>IFERROR((ENTRI!U66)," ")</f>
        <v>2</v>
      </c>
      <c r="Z66" s="219">
        <f>IFERROR((ENTRI!V66)," ")</f>
        <v>2</v>
      </c>
      <c r="AA66" s="219">
        <f>IFERROR((ENTRI!W66)," ")</f>
        <v>2</v>
      </c>
      <c r="AB66" s="219" t="str">
        <f>IFERROR((ENTRI!X66)," ")</f>
        <v>S1</v>
      </c>
      <c r="AC66" s="219" t="str">
        <f>IFERROR((ENTRI!Y66)," ")</f>
        <v>Matematika</v>
      </c>
      <c r="AD66" s="219">
        <f>IFERROR((ENTRI!Z66)," ")</f>
        <v>0</v>
      </c>
      <c r="AE66" s="219">
        <f>IFERROR((ENTRI!AA66)," ")</f>
        <v>0</v>
      </c>
      <c r="AF66" s="219">
        <f>IFERROR((ENTRI!AB66)," ")</f>
        <v>0</v>
      </c>
      <c r="AG66" s="219">
        <f>IFERROR((ENTRI!AC66)," ")</f>
        <v>0</v>
      </c>
      <c r="AH66" s="219">
        <f>IFERROR((ENTRI!AD66)," ")</f>
        <v>0</v>
      </c>
      <c r="AI66" s="219">
        <f>IFERROR((ENTRI!AE66)," ")</f>
        <v>0</v>
      </c>
      <c r="AJ66" s="219">
        <f>IFERROR((ENTRI!AF66)," ")</f>
        <v>0</v>
      </c>
      <c r="AK66" s="219">
        <f>IFERROR((ENTRI!AG66)," ")</f>
        <v>0</v>
      </c>
      <c r="AL66" s="219">
        <f>IFERROR((ENTRI!AH66)," ")</f>
        <v>0</v>
      </c>
      <c r="AM66" s="219">
        <f>IFERROR((ENTRI!AI66)," ")</f>
        <v>0</v>
      </c>
      <c r="AN66" s="219">
        <f>IFERROR((ENTRI!AJ66)," ")</f>
        <v>0</v>
      </c>
      <c r="AO66" s="219">
        <f>IFERROR((ENTRI!AK66)," ")</f>
        <v>0</v>
      </c>
      <c r="AP66" s="219">
        <f>IFERROR((ENTRI!AL66)," ")</f>
        <v>0</v>
      </c>
      <c r="AQ66" s="219">
        <f>IFERROR((ENTRI!AM66)," ")</f>
        <v>0</v>
      </c>
      <c r="AR66" s="216" t="str">
        <f>E66&amp;"."&amp;H66&amp;"."&amp;AW66&amp;"."&amp;ENTRI!$E$4</f>
        <v>06.01.059.2025</v>
      </c>
      <c r="AS66" t="str">
        <f>"YPP.QH/KP.01."&amp;E66&amp;"/"&amp;AW66&amp;"/"&amp;ENTRI!$E$4</f>
        <v>YPP.QH/KP.01.06/059/2025</v>
      </c>
      <c r="AW66" s="277" t="s">
        <v>954</v>
      </c>
    </row>
    <row r="67">
      <c r="A67">
        <f t="shared" si="47"/>
        <v>86</v>
      </c>
      <c r="B67" s="276">
        <f t="shared" si="42"/>
        <v>2006</v>
      </c>
      <c r="C67" s="277">
        <v>60</v>
      </c>
      <c r="D67" s="219" t="str">
        <f>IFERROR(IF(ENTRI!B67=$AZ$9,$BA$9,IF(ENTRI!B67=$AZ$10,$BA$10,IF(ENTRI!B67=$AZ$11,$BA$11,IF(ENTRI!B67=$AZ$12,$BA$12,IF(ENTRI!B67=$AZ$13,$BA$13,IF(ENTRI!B67=$AZ$14,$BA$14,IF(ENTRI!B67=$AZ$15,$BA$15,IF(ENTRI!B67=$AZ$16,$BA$16,IF(ENTRI!B67=$AZ$17,$BA$17,IF(ENTRI!B67=$AZ$18,$BA$18," "))))))))))," ")</f>
        <v xml:space="preserve">SMK Qomarul Hidayah 1 Tugu</v>
      </c>
      <c r="E67" s="219" t="str">
        <f>IFERROR((ENTRI!C67)," ")</f>
        <v>06</v>
      </c>
      <c r="F67" s="219">
        <f t="shared" si="43"/>
        <v>86</v>
      </c>
      <c r="G67" s="219" t="str">
        <f>IFERROR((ENTRI!E67)," ")</f>
        <v>Guru</v>
      </c>
      <c r="H67" s="219" t="str">
        <f>IFERROR((ENTRI!F67)," ")</f>
        <v>01</v>
      </c>
      <c r="I67" s="219" t="str">
        <f>IFERROR((ENTRI!G67)," ")</f>
        <v xml:space="preserve">AYU NOVITASARI, S.Pd</v>
      </c>
      <c r="J67" s="219" t="str">
        <f>IFERROR((ENTRI!H67)," ")</f>
        <v xml:space="preserve">19881118  201307 06 01 </v>
      </c>
      <c r="K67" s="219" t="str">
        <f>IFERROR((ENTRI!I67)," ")</f>
        <v>Trenggalek</v>
      </c>
      <c r="L67" s="219" t="str">
        <f>IFERROR((ENTRI!J67)," ")</f>
        <v>18</v>
      </c>
      <c r="M67" s="219" t="str">
        <f>IFERROR((ENTRI!K67)," ")</f>
        <v>11</v>
      </c>
      <c r="N67" s="219">
        <f>IFERROR((ENTRI!L67)," ")</f>
        <v>1988</v>
      </c>
      <c r="O67" s="219" t="str">
        <f t="shared" si="44"/>
        <v xml:space="preserve">Trenggalek, 18-11-1988</v>
      </c>
      <c r="P67" s="219" t="str">
        <f>IFERROR((ENTRI!N67)," ")</f>
        <v>15</v>
      </c>
      <c r="Q67" s="219" t="str">
        <f>IFERROR((ENTRI!O67)," ")</f>
        <v>07</v>
      </c>
      <c r="R67" s="219">
        <f>IFERROR((ENTRI!P67)," ")</f>
        <v>2013</v>
      </c>
      <c r="S67" s="219" t="str">
        <f t="shared" si="45"/>
        <v>15-07-2013</v>
      </c>
      <c r="T67" s="219" t="str">
        <f>IFERROR((ENTRI!Q67)," ")</f>
        <v>15</v>
      </c>
      <c r="U67" s="219" t="str">
        <f>IFERROR((ENTRI!R67)," ")</f>
        <v>07</v>
      </c>
      <c r="V67" s="219">
        <f>IFERROR((ENTRI!S67)," ")</f>
        <v>2013</v>
      </c>
      <c r="W67" s="219" t="str">
        <f t="shared" si="46"/>
        <v>15-07-2013</v>
      </c>
      <c r="X67" s="219">
        <f>IFERROR((ENTRI!T67)," ")</f>
        <v>1</v>
      </c>
      <c r="Y67" s="219">
        <f>IFERROR((ENTRI!U67)," ")</f>
        <v>1</v>
      </c>
      <c r="Z67" s="219">
        <f>IFERROR((ENTRI!V67)," ")</f>
        <v>1</v>
      </c>
      <c r="AA67" s="219">
        <f>IFERROR((ENTRI!W67)," ")</f>
        <v>1</v>
      </c>
      <c r="AB67" s="219" t="str">
        <f>IFERROR((ENTRI!X67)," ")</f>
        <v>S1</v>
      </c>
      <c r="AC67" s="219" t="str">
        <f>IFERROR((ENTRI!Y67)," ")</f>
        <v>Fisika</v>
      </c>
      <c r="AD67" s="219">
        <f>IFERROR((ENTRI!Z67)," ")</f>
        <v>0</v>
      </c>
      <c r="AE67" s="219">
        <f>IFERROR((ENTRI!AA67)," ")</f>
        <v>0</v>
      </c>
      <c r="AF67" s="219">
        <f>IFERROR((ENTRI!AB67)," ")</f>
        <v>0</v>
      </c>
      <c r="AG67" s="219">
        <f>IFERROR((ENTRI!AC67)," ")</f>
        <v>0</v>
      </c>
      <c r="AH67" s="219">
        <f>IFERROR((ENTRI!AD67)," ")</f>
        <v>0</v>
      </c>
      <c r="AI67" s="219">
        <f>IFERROR((ENTRI!AE67)," ")</f>
        <v>0</v>
      </c>
      <c r="AJ67" s="219">
        <f>IFERROR((ENTRI!AF67)," ")</f>
        <v>0</v>
      </c>
      <c r="AK67" s="219">
        <f>IFERROR((ENTRI!AG67)," ")</f>
        <v>0</v>
      </c>
      <c r="AL67" s="219">
        <f>IFERROR((ENTRI!AH67)," ")</f>
        <v>0</v>
      </c>
      <c r="AM67" s="219">
        <f>IFERROR((ENTRI!AI67)," ")</f>
        <v>0</v>
      </c>
      <c r="AN67" s="219">
        <f>IFERROR((ENTRI!AJ67)," ")</f>
        <v>0</v>
      </c>
      <c r="AO67" s="219">
        <f>IFERROR((ENTRI!AK67)," ")</f>
        <v>0</v>
      </c>
      <c r="AP67" s="219">
        <f>IFERROR((ENTRI!AL67)," ")</f>
        <v>0</v>
      </c>
      <c r="AQ67" s="219">
        <f>IFERROR((ENTRI!AM67)," ")</f>
        <v>0</v>
      </c>
      <c r="AR67" s="216" t="str">
        <f>E67&amp;"."&amp;H67&amp;"."&amp;AW67&amp;"."&amp;ENTRI!$E$4</f>
        <v>06.01.060.2025</v>
      </c>
      <c r="AS67" t="str">
        <f>"YPP.QH/KP.01."&amp;E67&amp;"/"&amp;AW67&amp;"/"&amp;ENTRI!$E$4</f>
        <v>YPP.QH/KP.01.06/060/2025</v>
      </c>
      <c r="AW67" s="277" t="s">
        <v>955</v>
      </c>
    </row>
    <row r="68">
      <c r="A68">
        <f t="shared" si="47"/>
        <v>60</v>
      </c>
      <c r="B68" s="276">
        <f t="shared" si="42"/>
        <v>2001</v>
      </c>
      <c r="C68" s="277">
        <v>61</v>
      </c>
      <c r="D68" s="219" t="str">
        <f>IFERROR(IF(ENTRI!B68=$AZ$9,$BA$9,IF(ENTRI!B68=$AZ$10,$BA$10,IF(ENTRI!B68=$AZ$11,$BA$11,IF(ENTRI!B68=$AZ$12,$BA$12,IF(ENTRI!B68=$AZ$13,$BA$13,IF(ENTRI!B68=$AZ$14,$BA$14,IF(ENTRI!B68=$AZ$15,$BA$15,IF(ENTRI!B68=$AZ$16,$BA$16,IF(ENTRI!B68=$AZ$17,$BA$17,IF(ENTRI!B68=$AZ$18,$BA$18," "))))))))))," ")</f>
        <v xml:space="preserve">SMK Qomarul Hidayah 2 Tugu</v>
      </c>
      <c r="E68" s="219" t="str">
        <f>IFERROR((ENTRI!C68)," ")</f>
        <v>07</v>
      </c>
      <c r="F68" s="219">
        <f t="shared" si="43"/>
        <v>60</v>
      </c>
      <c r="G68" s="219" t="str">
        <f>IFERROR((ENTRI!E68)," ")</f>
        <v xml:space="preserve">Kepala Sekolah</v>
      </c>
      <c r="H68" s="219" t="str">
        <f>IFERROR((ENTRI!F68)," ")</f>
        <v xml:space="preserve"> </v>
      </c>
      <c r="I68" s="219" t="str">
        <f>IFERROR((ENTRI!G68)," ")</f>
        <v xml:space="preserve">SYAIFUL HABIB, SE., M.Pd.</v>
      </c>
      <c r="J68" s="219" t="str">
        <f>IFERROR((ENTRI!H68)," ")</f>
        <v xml:space="preserve">19860214  201211 07   07</v>
      </c>
      <c r="K68" s="219" t="str">
        <f>IFERROR((ENTRI!I68)," ")</f>
        <v>Trenggalek</v>
      </c>
      <c r="L68" s="219">
        <f>IFERROR((ENTRI!J68)," ")</f>
        <v>14</v>
      </c>
      <c r="M68" s="219" t="str">
        <f>IFERROR((ENTRI!K68)," ")</f>
        <v>02</v>
      </c>
      <c r="N68" s="219">
        <f>IFERROR((ENTRI!L68)," ")</f>
        <v>1986</v>
      </c>
      <c r="O68" s="219" t="str">
        <f t="shared" si="44"/>
        <v xml:space="preserve">Trenggalek, 14-02-1986</v>
      </c>
      <c r="P68" s="219" t="str">
        <f>IFERROR((ENTRI!N68)," ")</f>
        <v>05</v>
      </c>
      <c r="Q68" s="219">
        <f>IFERROR((ENTRI!O68)," ")</f>
        <v>11</v>
      </c>
      <c r="R68" s="219">
        <f>IFERROR((ENTRI!P68)," ")</f>
        <v>2012</v>
      </c>
      <c r="S68" s="219" t="str">
        <f t="shared" si="45"/>
        <v>05-11-2012</v>
      </c>
      <c r="T68" s="219" t="str">
        <f>IFERROR((ENTRI!Q68)," ")</f>
        <v>05</v>
      </c>
      <c r="U68" s="219">
        <f>IFERROR((ENTRI!R68)," ")</f>
        <v>11</v>
      </c>
      <c r="V68" s="219">
        <f>IFERROR((ENTRI!S68)," ")</f>
        <v>2012</v>
      </c>
      <c r="W68" s="219" t="str">
        <f t="shared" si="46"/>
        <v>05-11-2012</v>
      </c>
      <c r="X68" s="219">
        <f>IFERROR((ENTRI!T68)," ")</f>
        <v>13</v>
      </c>
      <c r="Y68" s="219">
        <f>IFERROR((ENTRI!U68)," ")</f>
        <v>13</v>
      </c>
      <c r="Z68" s="219">
        <f>IFERROR((ENTRI!V68)," ")</f>
        <v>13</v>
      </c>
      <c r="AA68" s="219">
        <f>IFERROR((ENTRI!W68)," ")</f>
        <v>13</v>
      </c>
      <c r="AB68" s="219" t="str">
        <f>IFERROR((ENTRI!X68)," ")</f>
        <v>S2</v>
      </c>
      <c r="AC68" s="219" t="str">
        <f>IFERROR((ENTRI!Y68)," ")</f>
        <v xml:space="preserve">Manajemen Pendidikan Islam</v>
      </c>
      <c r="AD68" s="219">
        <f>IFERROR((ENTRI!Z68)," ")</f>
        <v>2023</v>
      </c>
      <c r="AE68" s="219" t="str">
        <f>IFERROR((ENTRI!AA68)," ")</f>
        <v>BELUM</v>
      </c>
      <c r="AF68" s="219">
        <f>IFERROR((ENTRI!AB68)," ")</f>
        <v>0</v>
      </c>
      <c r="AG68" s="219" t="str">
        <f>IFERROR((ENTRI!AC68)," ")</f>
        <v xml:space="preserve"> </v>
      </c>
      <c r="AH68" s="219">
        <f>IFERROR((ENTRI!AD68)," ")</f>
        <v>0</v>
      </c>
      <c r="AI68" s="219" t="str">
        <f>IFERROR((ENTRI!AE68)," ")</f>
        <v xml:space="preserve">Prakarya, Ta'lim </v>
      </c>
      <c r="AJ68" s="219">
        <f>IFERROR((ENTRI!AF68)," ")</f>
        <v>12</v>
      </c>
      <c r="AK68" s="219" t="str">
        <f>IFERROR((ENTRI!AG68)," ")</f>
        <v xml:space="preserve">Kepala Sekolah</v>
      </c>
      <c r="AL68" s="219">
        <f>IFERROR((ENTRI!AH68)," ")</f>
        <v>18</v>
      </c>
      <c r="AM68" s="219">
        <f>IFERROR((ENTRI!AI68)," ")</f>
        <v>30</v>
      </c>
      <c r="AN68" s="219">
        <f>IFERROR((ENTRI!AJ68)," ")</f>
        <v>0</v>
      </c>
      <c r="AO68" s="219">
        <f>IFERROR((ENTRI!AK68)," ")</f>
        <v>0</v>
      </c>
      <c r="AP68" s="219">
        <f>IFERROR((ENTRI!AL68)," ")</f>
        <v>0</v>
      </c>
      <c r="AQ68" s="219">
        <f>IFERROR((ENTRI!AM68)," ")</f>
        <v>0</v>
      </c>
      <c r="AR68" s="216" t="str">
        <f>E68&amp;"."&amp;H68&amp;"."&amp;AW68&amp;"."&amp;ENTRI!$E$4</f>
        <v xml:space="preserve">07. .061.2025</v>
      </c>
      <c r="AS68" t="str">
        <f>"YPP.QH/KP.01."&amp;E68&amp;"/"&amp;AW68&amp;"/"&amp;ENTRI!$E$4</f>
        <v>YPP.QH/KP.01.07/061/2025</v>
      </c>
      <c r="AW68" s="277" t="s">
        <v>956</v>
      </c>
    </row>
    <row r="69">
      <c r="A69">
        <f t="shared" si="47"/>
        <v>5</v>
      </c>
      <c r="B69" s="276">
        <f t="shared" si="42"/>
        <v>1983</v>
      </c>
      <c r="C69" s="277">
        <v>62</v>
      </c>
      <c r="D69" s="219" t="str">
        <f>IFERROR(IF(ENTRI!B69=$AZ$9,$BA$9,IF(ENTRI!B69=$AZ$10,$BA$10,IF(ENTRI!B69=$AZ$11,$BA$11,IF(ENTRI!B69=$AZ$12,$BA$12,IF(ENTRI!B69=$AZ$13,$BA$13,IF(ENTRI!B69=$AZ$14,$BA$14,IF(ENTRI!B69=$AZ$15,$BA$15,IF(ENTRI!B69=$AZ$16,$BA$16,IF(ENTRI!B69=$AZ$17,$BA$17,IF(ENTRI!B69=$AZ$18,$BA$18," "))))))))))," ")</f>
        <v xml:space="preserve">SMK Qomarul Hidayah 2 Tugu</v>
      </c>
      <c r="E69" s="219" t="str">
        <f>IFERROR((ENTRI!C69)," ")</f>
        <v>07</v>
      </c>
      <c r="F69" s="219">
        <f t="shared" si="43"/>
        <v>5</v>
      </c>
      <c r="G69" s="219" t="str">
        <f>IFERROR((ENTRI!E69)," ")</f>
        <v>Guru</v>
      </c>
      <c r="H69" s="219" t="str">
        <f>IFERROR((ENTRI!F69)," ")</f>
        <v>01</v>
      </c>
      <c r="I69" s="219" t="str">
        <f>IFERROR((ENTRI!G69)," ")</f>
        <v xml:space="preserve">Dra. SITI MARFU'AH</v>
      </c>
      <c r="J69" s="219" t="str">
        <f>IFERROR((ENTRI!H69)," ")</f>
        <v xml:space="preserve">19650417  199007 07 01 52</v>
      </c>
      <c r="K69" s="219" t="str">
        <f>IFERROR((ENTRI!I69)," ")</f>
        <v>Trenggalek</v>
      </c>
      <c r="L69" s="219">
        <f>IFERROR((ENTRI!J69)," ")</f>
        <v>17</v>
      </c>
      <c r="M69" s="219" t="str">
        <f>IFERROR((ENTRI!K69)," ")</f>
        <v>04</v>
      </c>
      <c r="N69" s="219">
        <f>IFERROR((ENTRI!L69)," ")</f>
        <v>1965</v>
      </c>
      <c r="O69" s="219" t="str">
        <f t="shared" si="44"/>
        <v xml:space="preserve">Trenggalek, 17-04-1965</v>
      </c>
      <c r="P69" s="219">
        <f>IFERROR((ENTRI!N69)," ")</f>
        <v>16</v>
      </c>
      <c r="Q69" s="219" t="str">
        <f>IFERROR((ENTRI!O69)," ")</f>
        <v>07</v>
      </c>
      <c r="R69" s="219">
        <f>IFERROR((ENTRI!P69)," ")</f>
        <v>1990</v>
      </c>
      <c r="S69" s="219" t="str">
        <f t="shared" si="45"/>
        <v>16-07-1990</v>
      </c>
      <c r="T69" s="219">
        <f>IFERROR((ENTRI!Q69)," ")</f>
        <v>18</v>
      </c>
      <c r="U69" s="219" t="str">
        <f>IFERROR((ENTRI!R69)," ")</f>
        <v>07</v>
      </c>
      <c r="V69" s="219">
        <f>IFERROR((ENTRI!S69)," ")</f>
        <v>1995</v>
      </c>
      <c r="W69" s="219" t="str">
        <f t="shared" si="46"/>
        <v>18-07-1995</v>
      </c>
      <c r="X69" s="219">
        <f>IFERROR((ENTRI!T69)," ")</f>
        <v>30</v>
      </c>
      <c r="Y69" s="219">
        <f>IFERROR((ENTRI!U69)," ")</f>
        <v>35</v>
      </c>
      <c r="Z69" s="219">
        <f>IFERROR((ENTRI!V69)," ")</f>
        <v>35</v>
      </c>
      <c r="AA69" s="219">
        <f>IFERROR((ENTRI!W69)," ")</f>
        <v>30</v>
      </c>
      <c r="AB69" s="219" t="str">
        <f>IFERROR((ENTRI!X69)," ")</f>
        <v>S1</v>
      </c>
      <c r="AC69" s="219" t="str">
        <f>IFERROR((ENTRI!Y69)," ")</f>
        <v xml:space="preserve">Pendidikan Agama Islam </v>
      </c>
      <c r="AD69" s="219">
        <f>IFERROR((ENTRI!Z69)," ")</f>
        <v>1991</v>
      </c>
      <c r="AE69" s="219" t="str">
        <f>IFERROR((ENTRI!AA69)," ")</f>
        <v>SUDAH</v>
      </c>
      <c r="AF69" s="219" t="str">
        <f>IFERROR((ENTRI!AB69)," ")</f>
        <v xml:space="preserve">GURU DEWASA</v>
      </c>
      <c r="AG69" s="219" t="str">
        <f>IFERROR((ENTRI!AC69)," ")</f>
        <v xml:space="preserve"> </v>
      </c>
      <c r="AH69" s="219" t="str">
        <f>IFERROR((ENTRI!AD69)," ")</f>
        <v xml:space="preserve">III D</v>
      </c>
      <c r="AI69" s="219" t="str">
        <f>IFERROR((ENTRI!AE69)," ")</f>
        <v>Ekonomi/IPS</v>
      </c>
      <c r="AJ69" s="219">
        <f>IFERROR((ENTRI!AF69)," ")</f>
        <v>12</v>
      </c>
      <c r="AK69" s="219" t="str">
        <f>IFERROR((ENTRI!AG69)," ")</f>
        <v xml:space="preserve">Waka Humas</v>
      </c>
      <c r="AL69" s="219">
        <f>IFERROR((ENTRI!AH69)," ")</f>
        <v>12</v>
      </c>
      <c r="AM69" s="219">
        <f>IFERROR((ENTRI!AI69)," ")</f>
        <v>24</v>
      </c>
      <c r="AN69" s="219" t="str">
        <f>IFERROR((ENTRI!AJ69)," ")</f>
        <v>SUDAH</v>
      </c>
      <c r="AO69" s="219">
        <f>IFERROR((ENTRI!AK69)," ")</f>
        <v>2008</v>
      </c>
      <c r="AP69" s="219" t="str">
        <f>IFERROR((ENTRI!AL69)," ")</f>
        <v>082086892004</v>
      </c>
      <c r="AQ69" s="219" t="str">
        <f>IFERROR((ENTRI!AM69)," ")</f>
        <v>4749743646300010</v>
      </c>
      <c r="AR69" s="216" t="str">
        <f>E69&amp;"."&amp;H69&amp;"."&amp;AW69&amp;"."&amp;ENTRI!$E$4</f>
        <v>07.01.062.2025</v>
      </c>
      <c r="AS69" t="str">
        <f>"YPP.QH/KP.01."&amp;E69&amp;"/"&amp;AW69&amp;"/"&amp;ENTRI!$E$4</f>
        <v>YPP.QH/KP.01.07/062/2025</v>
      </c>
      <c r="AW69" s="277" t="s">
        <v>957</v>
      </c>
    </row>
    <row r="70">
      <c r="A70">
        <f t="shared" si="47"/>
        <v>12</v>
      </c>
      <c r="B70" s="276">
        <f t="shared" si="42"/>
        <v>1988</v>
      </c>
      <c r="C70" s="277">
        <v>63</v>
      </c>
      <c r="D70" s="219" t="str">
        <f>IFERROR(IF(ENTRI!B70=$AZ$9,$BA$9,IF(ENTRI!B70=$AZ$10,$BA$10,IF(ENTRI!B70=$AZ$11,$BA$11,IF(ENTRI!B70=$AZ$12,$BA$12,IF(ENTRI!B70=$AZ$13,$BA$13,IF(ENTRI!B70=$AZ$14,$BA$14,IF(ENTRI!B70=$AZ$15,$BA$15,IF(ENTRI!B70=$AZ$16,$BA$16,IF(ENTRI!B70=$AZ$17,$BA$17,IF(ENTRI!B70=$AZ$18,$BA$18," "))))))))))," ")</f>
        <v xml:space="preserve">SMK Qomarul Hidayah 2 Tugu</v>
      </c>
      <c r="E70" s="219" t="str">
        <f>IFERROR((ENTRI!C70)," ")</f>
        <v>07</v>
      </c>
      <c r="F70" s="219">
        <f t="shared" si="43"/>
        <v>12</v>
      </c>
      <c r="G70" s="219" t="str">
        <f>IFERROR((ENTRI!E70)," ")</f>
        <v>Guru</v>
      </c>
      <c r="H70" s="219" t="str">
        <f>IFERROR((ENTRI!F70)," ")</f>
        <v>01</v>
      </c>
      <c r="I70" s="219" t="str">
        <f>IFERROR((ENTRI!G70)," ")</f>
        <v xml:space="preserve">HERU SANTOSO, S.Pd</v>
      </c>
      <c r="J70" s="219" t="str">
        <f>IFERROR((ENTRI!H70)," ")</f>
        <v xml:space="preserve">19651218  199507 07 01 59</v>
      </c>
      <c r="K70" s="219" t="str">
        <f>IFERROR((ENTRI!I70)," ")</f>
        <v>Trenggalek</v>
      </c>
      <c r="L70" s="219">
        <f>IFERROR((ENTRI!J70)," ")</f>
        <v>18</v>
      </c>
      <c r="M70" s="219">
        <f>IFERROR((ENTRI!K70)," ")</f>
        <v>12</v>
      </c>
      <c r="N70" s="219">
        <f>IFERROR((ENTRI!L70)," ")</f>
        <v>1965</v>
      </c>
      <c r="O70" s="219" t="str">
        <f t="shared" si="44"/>
        <v xml:space="preserve">Trenggalek, 18-12-1965</v>
      </c>
      <c r="P70" s="219" t="str">
        <f>IFERROR((ENTRI!N70)," ")</f>
        <v>01</v>
      </c>
      <c r="Q70" s="219" t="str">
        <f>IFERROR((ENTRI!O70)," ")</f>
        <v>07</v>
      </c>
      <c r="R70" s="219">
        <f>IFERROR((ENTRI!P70)," ")</f>
        <v>1995</v>
      </c>
      <c r="S70" s="219" t="str">
        <f t="shared" si="45"/>
        <v>01-07-1995</v>
      </c>
      <c r="T70" s="219" t="str">
        <f>IFERROR((ENTRI!Q70)," ")</f>
        <v>01</v>
      </c>
      <c r="U70" s="219" t="str">
        <f>IFERROR((ENTRI!R70)," ")</f>
        <v>07</v>
      </c>
      <c r="V70" s="219">
        <f>IFERROR((ENTRI!S70)," ")</f>
        <v>1995</v>
      </c>
      <c r="W70" s="219" t="str">
        <f t="shared" si="46"/>
        <v>01-07-1995</v>
      </c>
      <c r="X70" s="219">
        <f>IFERROR((ENTRI!T70)," ")</f>
        <v>30</v>
      </c>
      <c r="Y70" s="219">
        <f>IFERROR((ENTRI!U70)," ")</f>
        <v>30</v>
      </c>
      <c r="Z70" s="219">
        <f>IFERROR((ENTRI!V70)," ")</f>
        <v>30</v>
      </c>
      <c r="AA70" s="219">
        <f>IFERROR((ENTRI!W70)," ")</f>
        <v>30</v>
      </c>
      <c r="AB70" s="219" t="str">
        <f>IFERROR((ENTRI!X70)," ")</f>
        <v>S1</v>
      </c>
      <c r="AC70" s="219" t="str">
        <f>IFERROR((ENTRI!Y70)," ")</f>
        <v xml:space="preserve">PDU Koperasi</v>
      </c>
      <c r="AD70" s="219">
        <f>IFERROR((ENTRI!Z70)," ")</f>
        <v>1993</v>
      </c>
      <c r="AE70" s="219">
        <f>IFERROR((ENTRI!AA70)," ")</f>
        <v>0</v>
      </c>
      <c r="AF70" s="219">
        <f>IFERROR((ENTRI!AB70)," ")</f>
        <v>0</v>
      </c>
      <c r="AG70" s="219" t="str">
        <f>IFERROR((ENTRI!AC70)," ")</f>
        <v xml:space="preserve"> </v>
      </c>
      <c r="AH70" s="219">
        <f>IFERROR((ENTRI!AD70)," ")</f>
        <v>0</v>
      </c>
      <c r="AI70" s="219" t="str">
        <f>IFERROR((ENTRI!AE70)," ")</f>
        <v xml:space="preserve">Membuat Pola, Busana Wanita, Memilih Bahan, Mengawasi mutu busana </v>
      </c>
      <c r="AJ70" s="219">
        <f>IFERROR((ENTRI!AF70)," ")</f>
        <v>16</v>
      </c>
      <c r="AK70" s="219" t="str">
        <f>IFERROR((ENTRI!AG70)," ")</f>
        <v>-</v>
      </c>
      <c r="AL70" s="219" t="str">
        <f>IFERROR((ENTRI!AH70)," ")</f>
        <v>-</v>
      </c>
      <c r="AM70" s="219" t="str">
        <f>IFERROR((ENTRI!AI70)," ")</f>
        <v xml:space="preserve"> </v>
      </c>
      <c r="AN70" s="219" t="str">
        <f>IFERROR((ENTRI!AJ70)," ")</f>
        <v>SUDAH</v>
      </c>
      <c r="AO70" s="219">
        <f>IFERROR((ENTRI!AK70)," ")</f>
        <v>2011</v>
      </c>
      <c r="AP70" s="219">
        <f>IFERROR((ENTRI!AL70)," ")</f>
        <v>0</v>
      </c>
      <c r="AQ70" s="219" t="str">
        <f>IFERROR((ENTRI!AM70)," ")</f>
        <v>7550743646200013</v>
      </c>
      <c r="AR70" s="216" t="str">
        <f>E70&amp;"."&amp;H70&amp;"."&amp;AW70&amp;"."&amp;ENTRI!$E$4</f>
        <v>07.01.063.2025</v>
      </c>
      <c r="AS70" t="str">
        <f>"YPP.QH/KP.01."&amp;E70&amp;"/"&amp;AW70&amp;"/"&amp;ENTRI!$E$4</f>
        <v>YPP.QH/KP.01.07/063/2025</v>
      </c>
      <c r="AW70" s="277" t="s">
        <v>958</v>
      </c>
    </row>
    <row r="71">
      <c r="A71">
        <f t="shared" si="47"/>
        <v>5</v>
      </c>
      <c r="B71" s="276">
        <f t="shared" si="42"/>
        <v>1983</v>
      </c>
      <c r="C71" s="277">
        <v>64</v>
      </c>
      <c r="D71" s="219" t="str">
        <f>IFERROR(IF(ENTRI!B71=$AZ$9,$BA$9,IF(ENTRI!B71=$AZ$10,$BA$10,IF(ENTRI!B71=$AZ$11,$BA$11,IF(ENTRI!B71=$AZ$12,$BA$12,IF(ENTRI!B71=$AZ$13,$BA$13,IF(ENTRI!B71=$AZ$14,$BA$14,IF(ENTRI!B71=$AZ$15,$BA$15,IF(ENTRI!B71=$AZ$16,$BA$16,IF(ENTRI!B71=$AZ$17,$BA$17,IF(ENTRI!B71=$AZ$18,$BA$18," "))))))))))," ")</f>
        <v xml:space="preserve">SMK Qomarul Hidayah 2 Tugu</v>
      </c>
      <c r="E71" s="219" t="str">
        <f>IFERROR((ENTRI!C71)," ")</f>
        <v>07</v>
      </c>
      <c r="F71" s="219">
        <f t="shared" si="43"/>
        <v>5</v>
      </c>
      <c r="G71" s="219" t="str">
        <f>IFERROR((ENTRI!E71)," ")</f>
        <v>Guru</v>
      </c>
      <c r="H71" s="219" t="str">
        <f>IFERROR((ENTRI!F71)," ")</f>
        <v>01</v>
      </c>
      <c r="I71" s="219" t="str">
        <f>IFERROR((ENTRI!G71)," ")</f>
        <v xml:space="preserve">Drs. AMIN THOHARI, S.Pd</v>
      </c>
      <c r="J71" s="219" t="str">
        <f>IFERROR((ENTRI!H71)," ")</f>
        <v xml:space="preserve">19681008  199007 07 01 52</v>
      </c>
      <c r="K71" s="219" t="str">
        <f>IFERROR((ENTRI!I71)," ")</f>
        <v>Trenggalek</v>
      </c>
      <c r="L71" s="219" t="str">
        <f>IFERROR((ENTRI!J71)," ")</f>
        <v>08</v>
      </c>
      <c r="M71" s="219">
        <f>IFERROR((ENTRI!K71)," ")</f>
        <v>10</v>
      </c>
      <c r="N71" s="219">
        <f>IFERROR((ENTRI!L71)," ")</f>
        <v>1968</v>
      </c>
      <c r="O71" s="219" t="str">
        <f t="shared" si="44"/>
        <v xml:space="preserve">Trenggalek, 08-10-1968</v>
      </c>
      <c r="P71" s="219">
        <f>IFERROR((ENTRI!N71)," ")</f>
        <v>18</v>
      </c>
      <c r="Q71" s="219" t="str">
        <f>IFERROR((ENTRI!O71)," ")</f>
        <v>07</v>
      </c>
      <c r="R71" s="219">
        <f>IFERROR((ENTRI!P71)," ")</f>
        <v>1990</v>
      </c>
      <c r="S71" s="219" t="str">
        <f t="shared" si="45"/>
        <v>18-07-1990</v>
      </c>
      <c r="T71" s="219">
        <f>IFERROR((ENTRI!Q71)," ")</f>
        <v>18</v>
      </c>
      <c r="U71" s="219" t="str">
        <f>IFERROR((ENTRI!R71)," ")</f>
        <v>07</v>
      </c>
      <c r="V71" s="219">
        <f>IFERROR((ENTRI!S71)," ")</f>
        <v>1995</v>
      </c>
      <c r="W71" s="219" t="str">
        <f t="shared" si="46"/>
        <v>18-07-1995</v>
      </c>
      <c r="X71" s="219">
        <f>IFERROR((ENTRI!T71)," ")</f>
        <v>30</v>
      </c>
      <c r="Y71" s="219">
        <f>IFERROR((ENTRI!U71)," ")</f>
        <v>35</v>
      </c>
      <c r="Z71" s="219">
        <f>IFERROR((ENTRI!V71)," ")</f>
        <v>35</v>
      </c>
      <c r="AA71" s="219">
        <f>IFERROR((ENTRI!W71)," ")</f>
        <v>30</v>
      </c>
      <c r="AB71" s="219" t="str">
        <f>IFERROR((ENTRI!X71)," ")</f>
        <v>S1</v>
      </c>
      <c r="AC71" s="219" t="str">
        <f>IFERROR((ENTRI!Y71)," ")</f>
        <v xml:space="preserve">Pendidikan Jasmani Kesehatan dan Rekreasi </v>
      </c>
      <c r="AD71" s="219">
        <f>IFERROR((ENTRI!Z71)," ")</f>
        <v>1992</v>
      </c>
      <c r="AE71" s="219" t="str">
        <f>IFERROR((ENTRI!AA71)," ")</f>
        <v>SUDAH</v>
      </c>
      <c r="AF71" s="219" t="str">
        <f>IFERROR((ENTRI!AB71)," ")</f>
        <v xml:space="preserve">GURU DEWASA</v>
      </c>
      <c r="AG71" s="219" t="str">
        <f>IFERROR((ENTRI!AC71)," ")</f>
        <v xml:space="preserve"> </v>
      </c>
      <c r="AH71" s="219" t="str">
        <f>IFERROR((ENTRI!AD71)," ")</f>
        <v xml:space="preserve">III D</v>
      </c>
      <c r="AI71" s="219" t="str">
        <f>IFERROR((ENTRI!AE71)," ")</f>
        <v>Penjasorkes</v>
      </c>
      <c r="AJ71" s="219">
        <f>IFERROR((ENTRI!AF71)," ")</f>
        <v>12</v>
      </c>
      <c r="AK71" s="219" t="str">
        <f>IFERROR((ENTRI!AG71)," ")</f>
        <v xml:space="preserve">Waka Sarana Prasarana</v>
      </c>
      <c r="AL71" s="219">
        <f>IFERROR((ENTRI!AH71)," ")</f>
        <v>12</v>
      </c>
      <c r="AM71" s="219">
        <f>IFERROR((ENTRI!AI71)," ")</f>
        <v>24</v>
      </c>
      <c r="AN71" s="219" t="str">
        <f>IFERROR((ENTRI!AJ71)," ")</f>
        <v>SUDAH</v>
      </c>
      <c r="AO71" s="219">
        <f>IFERROR((ENTRI!AK71)," ")</f>
        <v>2008</v>
      </c>
      <c r="AP71" s="219" t="str">
        <f>IFERROR((ENTRI!AL71)," ")</f>
        <v>081738901007</v>
      </c>
      <c r="AQ71" s="219" t="str">
        <f>IFERROR((ENTRI!AM71)," ")</f>
        <v>2340746648200013</v>
      </c>
      <c r="AR71" s="216" t="str">
        <f>E71&amp;"."&amp;H71&amp;"."&amp;AW71&amp;"."&amp;ENTRI!$E$4</f>
        <v>07.01.064.2025</v>
      </c>
      <c r="AS71" t="str">
        <f>"YPP.QH/KP.01."&amp;E71&amp;"/"&amp;AW71&amp;"/"&amp;ENTRI!$E$4</f>
        <v>YPP.QH/KP.01.07/064/2025</v>
      </c>
      <c r="AW71" s="277" t="s">
        <v>959</v>
      </c>
    </row>
    <row r="72">
      <c r="A72">
        <f t="shared" si="47"/>
        <v>17</v>
      </c>
      <c r="B72" s="276">
        <f t="shared" si="42"/>
        <v>1990</v>
      </c>
      <c r="C72" s="277">
        <v>65</v>
      </c>
      <c r="D72" s="219" t="str">
        <f>IFERROR(IF(ENTRI!B72=$AZ$9,$BA$9,IF(ENTRI!B72=$AZ$10,$BA$10,IF(ENTRI!B72=$AZ$11,$BA$11,IF(ENTRI!B72=$AZ$12,$BA$12,IF(ENTRI!B72=$AZ$13,$BA$13,IF(ENTRI!B72=$AZ$14,$BA$14,IF(ENTRI!B72=$AZ$15,$BA$15,IF(ENTRI!B72=$AZ$16,$BA$16,IF(ENTRI!B72=$AZ$17,$BA$17,IF(ENTRI!B72=$AZ$18,$BA$18," "))))))))))," ")</f>
        <v xml:space="preserve">SMK Qomarul Hidayah 2 Tugu</v>
      </c>
      <c r="E72" s="219" t="str">
        <f>IFERROR((ENTRI!C72)," ")</f>
        <v>07</v>
      </c>
      <c r="F72" s="219">
        <f t="shared" si="43"/>
        <v>17</v>
      </c>
      <c r="G72" s="219" t="str">
        <f>IFERROR((ENTRI!E72)," ")</f>
        <v>Guru</v>
      </c>
      <c r="H72" s="219" t="str">
        <f>IFERROR((ENTRI!F72)," ")</f>
        <v>01</v>
      </c>
      <c r="I72" s="219" t="str">
        <f>IFERROR((ENTRI!G72)," ")</f>
        <v xml:space="preserve">JUMROHTU UMAMI, S.Pd</v>
      </c>
      <c r="J72" s="219" t="str">
        <f>IFERROR((ENTRI!H72)," ")</f>
        <v xml:space="preserve">19730419  199707 07 01 64</v>
      </c>
      <c r="K72" s="219" t="str">
        <f>IFERROR((ENTRI!I72)," ")</f>
        <v>Trenggalek</v>
      </c>
      <c r="L72" s="219">
        <f>IFERROR((ENTRI!J72)," ")</f>
        <v>19</v>
      </c>
      <c r="M72" s="219" t="str">
        <f>IFERROR((ENTRI!K72)," ")</f>
        <v>04</v>
      </c>
      <c r="N72" s="219">
        <f>IFERROR((ENTRI!L72)," ")</f>
        <v>1973</v>
      </c>
      <c r="O72" s="219" t="str">
        <f t="shared" si="44"/>
        <v xml:space="preserve">Trenggalek, 19-04-1973</v>
      </c>
      <c r="P72" s="219" t="str">
        <f>IFERROR((ENTRI!N72)," ")</f>
        <v>01</v>
      </c>
      <c r="Q72" s="219" t="str">
        <f>IFERROR((ENTRI!O72)," ")</f>
        <v>07</v>
      </c>
      <c r="R72" s="219">
        <f>IFERROR((ENTRI!P72)," ")</f>
        <v>1997</v>
      </c>
      <c r="S72" s="219" t="str">
        <f t="shared" si="45"/>
        <v>01-07-1997</v>
      </c>
      <c r="T72" s="219" t="str">
        <f>IFERROR((ENTRI!Q72)," ")</f>
        <v>01</v>
      </c>
      <c r="U72" s="219" t="str">
        <f>IFERROR((ENTRI!R72)," ")</f>
        <v>07</v>
      </c>
      <c r="V72" s="219">
        <f>IFERROR((ENTRI!S72)," ")</f>
        <v>1997</v>
      </c>
      <c r="W72" s="219" t="str">
        <f t="shared" si="46"/>
        <v>01-07-1997</v>
      </c>
      <c r="X72" s="219">
        <f>IFERROR((ENTRI!T72)," ")</f>
        <v>28</v>
      </c>
      <c r="Y72" s="219">
        <f>IFERROR((ENTRI!U72)," ")</f>
        <v>28</v>
      </c>
      <c r="Z72" s="219">
        <f>IFERROR((ENTRI!V72)," ")</f>
        <v>28</v>
      </c>
      <c r="AA72" s="219">
        <f>IFERROR((ENTRI!W72)," ")</f>
        <v>28</v>
      </c>
      <c r="AB72" s="219" t="str">
        <f>IFERROR((ENTRI!X72)," ")</f>
        <v>S1</v>
      </c>
      <c r="AC72" s="219" t="str">
        <f>IFERROR((ENTRI!Y72)," ")</f>
        <v xml:space="preserve">Pendidikan Dunia Usaha/Administrasi Perkantoran</v>
      </c>
      <c r="AD72" s="219">
        <f>IFERROR((ENTRI!Z72)," ")</f>
        <v>1996</v>
      </c>
      <c r="AE72" s="219" t="str">
        <f>IFERROR((ENTRI!AA72)," ")</f>
        <v>SUDAH</v>
      </c>
      <c r="AF72" s="219" t="str">
        <f>IFERROR((ENTRI!AB72)," ")</f>
        <v xml:space="preserve">GURU DEWASA</v>
      </c>
      <c r="AG72" s="219" t="str">
        <f>IFERROR((ENTRI!AC72)," ")</f>
        <v xml:space="preserve"> </v>
      </c>
      <c r="AH72" s="219" t="str">
        <f>IFERROR((ENTRI!AD72)," ")</f>
        <v xml:space="preserve">III C</v>
      </c>
      <c r="AI72" s="219" t="str">
        <f>IFERROR((ENTRI!AE72)," ")</f>
        <v xml:space="preserve">Peralatan kantor, menangani surat, mengelola sistem kearsipan, membuat dokumen </v>
      </c>
      <c r="AJ72" s="219">
        <f>IFERROR((ENTRI!AF72)," ")</f>
        <v>16</v>
      </c>
      <c r="AK72" s="219" t="str">
        <f>IFERROR((ENTRI!AG72)," ")</f>
        <v>-</v>
      </c>
      <c r="AL72" s="219" t="str">
        <f>IFERROR((ENTRI!AH72)," ")</f>
        <v>-</v>
      </c>
      <c r="AM72" s="219" t="str">
        <f>IFERROR((ENTRI!AI72)," ")</f>
        <v xml:space="preserve"> </v>
      </c>
      <c r="AN72" s="219" t="str">
        <f>IFERROR((ENTRI!AJ72)," ")</f>
        <v>SUDAH</v>
      </c>
      <c r="AO72" s="219">
        <f>IFERROR((ENTRI!AK72)," ")</f>
        <v>2012</v>
      </c>
      <c r="AP72" s="219" t="str">
        <f>IFERROR((ENTRI!AL72)," ")</f>
        <v>125391844001</v>
      </c>
      <c r="AQ72" s="219" t="str">
        <f>IFERROR((ENTRI!AM72)," ")</f>
        <v>1751751651300002</v>
      </c>
      <c r="AR72" s="216" t="str">
        <f>E72&amp;"."&amp;H72&amp;"."&amp;AW72&amp;"."&amp;ENTRI!$E$4</f>
        <v>07.01.065.2025</v>
      </c>
      <c r="AS72" t="str">
        <f>"YPP.QH/KP.01."&amp;E72&amp;"/"&amp;AW72&amp;"/"&amp;ENTRI!$E$4</f>
        <v>YPP.QH/KP.01.07/065/2025</v>
      </c>
      <c r="AW72" s="277" t="s">
        <v>960</v>
      </c>
    </row>
    <row r="73">
      <c r="A73">
        <f t="shared" si="47"/>
        <v>21</v>
      </c>
      <c r="B73" s="276">
        <f t="shared" si="42"/>
        <v>1994</v>
      </c>
      <c r="C73" s="277">
        <v>66</v>
      </c>
      <c r="D73" s="219" t="str">
        <f>IFERROR(IF(ENTRI!B73=$AZ$9,$BA$9,IF(ENTRI!B73=$AZ$10,$BA$10,IF(ENTRI!B73=$AZ$11,$BA$11,IF(ENTRI!B73=$AZ$12,$BA$12,IF(ENTRI!B73=$AZ$13,$BA$13,IF(ENTRI!B73=$AZ$14,$BA$14,IF(ENTRI!B73=$AZ$15,$BA$15,IF(ENTRI!B73=$AZ$16,$BA$16,IF(ENTRI!B73=$AZ$17,$BA$17,IF(ENTRI!B73=$AZ$18,$BA$18," "))))))))))," ")</f>
        <v xml:space="preserve">SMK Qomarul Hidayah 2 Tugu</v>
      </c>
      <c r="E73" s="219" t="str">
        <f>IFERROR((ENTRI!C73)," ")</f>
        <v>07</v>
      </c>
      <c r="F73" s="219">
        <f t="shared" si="43"/>
        <v>21</v>
      </c>
      <c r="G73" s="219" t="str">
        <f>IFERROR((ENTRI!E73)," ")</f>
        <v>Guru</v>
      </c>
      <c r="H73" s="219" t="str">
        <f>IFERROR((ENTRI!F73)," ")</f>
        <v>01</v>
      </c>
      <c r="I73" s="219" t="str">
        <f>IFERROR((ENTRI!G73)," ")</f>
        <v xml:space="preserve">AINUN GHONIMAH, M.Pd.</v>
      </c>
      <c r="J73" s="219" t="str">
        <f>IFERROR((ENTRI!H73)," ")</f>
        <v xml:space="preserve">19760226  200107 07 01 68</v>
      </c>
      <c r="K73" s="219" t="str">
        <f>IFERROR((ENTRI!I73)," ")</f>
        <v>Trenggalek</v>
      </c>
      <c r="L73" s="219">
        <f>IFERROR((ENTRI!J73)," ")</f>
        <v>26</v>
      </c>
      <c r="M73" s="219" t="str">
        <f>IFERROR((ENTRI!K73)," ")</f>
        <v>02</v>
      </c>
      <c r="N73" s="219">
        <f>IFERROR((ENTRI!L73)," ")</f>
        <v>1976</v>
      </c>
      <c r="O73" s="219" t="str">
        <f t="shared" si="44"/>
        <v xml:space="preserve">Trenggalek, 26-02-1976</v>
      </c>
      <c r="P73" s="219">
        <f>IFERROR((ENTRI!N73)," ")</f>
        <v>18</v>
      </c>
      <c r="Q73" s="219" t="str">
        <f>IFERROR((ENTRI!O73)," ")</f>
        <v>07</v>
      </c>
      <c r="R73" s="219">
        <f>IFERROR((ENTRI!P73)," ")</f>
        <v>2001</v>
      </c>
      <c r="S73" s="219" t="str">
        <f t="shared" si="45"/>
        <v>18-07-2001</v>
      </c>
      <c r="T73" s="219">
        <f>IFERROR((ENTRI!Q73)," ")</f>
        <v>18</v>
      </c>
      <c r="U73" s="219" t="str">
        <f>IFERROR((ENTRI!R73)," ")</f>
        <v>07</v>
      </c>
      <c r="V73" s="219">
        <f>IFERROR((ENTRI!S73)," ")</f>
        <v>2001</v>
      </c>
      <c r="W73" s="219" t="str">
        <f t="shared" si="46"/>
        <v>18-07-2001</v>
      </c>
      <c r="X73" s="219">
        <f>IFERROR((ENTRI!T73)," ")</f>
        <v>24</v>
      </c>
      <c r="Y73" s="219">
        <f>IFERROR((ENTRI!U73)," ")</f>
        <v>24</v>
      </c>
      <c r="Z73" s="219">
        <f>IFERROR((ENTRI!V73)," ")</f>
        <v>24</v>
      </c>
      <c r="AA73" s="219">
        <f>IFERROR((ENTRI!W73)," ")</f>
        <v>24</v>
      </c>
      <c r="AB73" s="219" t="str">
        <f>IFERROR((ENTRI!X73)," ")</f>
        <v>S2</v>
      </c>
      <c r="AC73" s="219" t="str">
        <f>IFERROR((ENTRI!Y73)," ")</f>
        <v xml:space="preserve">Manajemen Pendidikan Islam</v>
      </c>
      <c r="AD73" s="219">
        <f>IFERROR((ENTRI!Z73)," ")</f>
        <v>2020</v>
      </c>
      <c r="AE73" s="219">
        <f>IFERROR((ENTRI!AA73)," ")</f>
        <v>0</v>
      </c>
      <c r="AF73" s="219">
        <f>IFERROR((ENTRI!AB73)," ")</f>
        <v>0</v>
      </c>
      <c r="AG73" s="219" t="str">
        <f>IFERROR((ENTRI!AC73)," ")</f>
        <v xml:space="preserve"> </v>
      </c>
      <c r="AH73" s="219">
        <f>IFERROR((ENTRI!AD73)," ")</f>
        <v>0</v>
      </c>
      <c r="AI73" s="219" t="str">
        <f>IFERROR((ENTRI!AE73)," ")</f>
        <v xml:space="preserve">Pendidikan Agama Islam </v>
      </c>
      <c r="AJ73" s="219">
        <f>IFERROR((ENTRI!AF73)," ")</f>
        <v>12</v>
      </c>
      <c r="AK73" s="219" t="str">
        <f>IFERROR((ENTRI!AG73)," ")</f>
        <v xml:space="preserve">Waka Kesiswaan</v>
      </c>
      <c r="AL73" s="219">
        <f>IFERROR((ENTRI!AH73)," ")</f>
        <v>12</v>
      </c>
      <c r="AM73" s="219">
        <f>IFERROR((ENTRI!AI73)," ")</f>
        <v>24</v>
      </c>
      <c r="AN73" s="219" t="str">
        <f>IFERROR((ENTRI!AJ73)," ")</f>
        <v>SUDAH</v>
      </c>
      <c r="AO73" s="219">
        <f>IFERROR((ENTRI!AK73)," ")</f>
        <v>2009</v>
      </c>
      <c r="AP73" s="219" t="str">
        <f>IFERROR((ENTRI!AL73)," ")</f>
        <v>091335957007</v>
      </c>
      <c r="AQ73" s="219" t="str">
        <f>IFERROR((ENTRI!AM73)," ")</f>
        <v>1558754655300012</v>
      </c>
      <c r="AR73" s="216" t="str">
        <f>E73&amp;"."&amp;H73&amp;"."&amp;AW73&amp;"."&amp;ENTRI!$E$4</f>
        <v>07.01.066.2025</v>
      </c>
      <c r="AS73" t="str">
        <f>"YPP.QH/KP.01."&amp;E73&amp;"/"&amp;AW73&amp;"/"&amp;ENTRI!$E$4</f>
        <v>YPP.QH/KP.01.07/066/2025</v>
      </c>
      <c r="AW73" s="277" t="s">
        <v>961</v>
      </c>
    </row>
    <row r="74">
      <c r="A74">
        <f t="shared" si="47"/>
        <v>53</v>
      </c>
      <c r="B74" s="276">
        <f t="shared" ref="B74:B114" si="48">R74-Q74</f>
        <v>2000</v>
      </c>
      <c r="C74" s="277">
        <v>67</v>
      </c>
      <c r="D74" s="219" t="str">
        <f>IFERROR(IF(ENTRI!B74=$AZ$9,$BA$9,IF(ENTRI!B74=$AZ$10,$BA$10,IF(ENTRI!B74=$AZ$11,$BA$11,IF(ENTRI!B74=$AZ$12,$BA$12,IF(ENTRI!B74=$AZ$13,$BA$13,IF(ENTRI!B74=$AZ$14,$BA$14,IF(ENTRI!B74=$AZ$15,$BA$15,IF(ENTRI!B74=$AZ$16,$BA$16,IF(ENTRI!B74=$AZ$17,$BA$17,IF(ENTRI!B74=$AZ$18,$BA$18," "))))))))))," ")</f>
        <v xml:space="preserve">SMK Qomarul Hidayah 2 Tugu</v>
      </c>
      <c r="E74" s="219" t="str">
        <f>IFERROR((ENTRI!C74)," ")</f>
        <v>07</v>
      </c>
      <c r="F74" s="219">
        <f t="shared" si="43"/>
        <v>53</v>
      </c>
      <c r="G74" s="219" t="str">
        <f>IFERROR((ENTRI!E74)," ")</f>
        <v>Guru</v>
      </c>
      <c r="H74" s="219" t="str">
        <f>IFERROR((ENTRI!F74)," ")</f>
        <v>01</v>
      </c>
      <c r="I74" s="219" t="str">
        <f>IFERROR((ENTRI!G74)," ")</f>
        <v xml:space="preserve">HARI WIJAYANTI, S.Pd</v>
      </c>
      <c r="J74" s="219" t="str">
        <f>IFERROR((ENTRI!H74)," ")</f>
        <v xml:space="preserve">19830501  200707 07 01 01</v>
      </c>
      <c r="K74" s="219" t="str">
        <f>IFERROR((ENTRI!I74)," ")</f>
        <v>Trenggalek</v>
      </c>
      <c r="L74" s="219" t="str">
        <f>IFERROR((ENTRI!J74)," ")</f>
        <v>01</v>
      </c>
      <c r="M74" s="219" t="str">
        <f>IFERROR((ENTRI!K74)," ")</f>
        <v>05</v>
      </c>
      <c r="N74" s="219">
        <f>IFERROR((ENTRI!L74)," ")</f>
        <v>1983</v>
      </c>
      <c r="O74" s="219" t="str">
        <f t="shared" si="44"/>
        <v xml:space="preserve">Trenggalek, 01-05-1983</v>
      </c>
      <c r="P74" s="219" t="str">
        <f>IFERROR((ENTRI!N74)," ")</f>
        <v>16</v>
      </c>
      <c r="Q74" s="219" t="str">
        <f>IFERROR((ENTRI!O74)," ")</f>
        <v>07</v>
      </c>
      <c r="R74" s="219">
        <f>IFERROR((ENTRI!P74)," ")</f>
        <v>2007</v>
      </c>
      <c r="S74" s="219" t="str">
        <f t="shared" si="45"/>
        <v>16-07-2007</v>
      </c>
      <c r="T74" s="219" t="str">
        <f>IFERROR((ENTRI!Q74)," ")</f>
        <v>16</v>
      </c>
      <c r="U74" s="219" t="str">
        <f>IFERROR((ENTRI!R74)," ")</f>
        <v>07</v>
      </c>
      <c r="V74" s="219">
        <f>IFERROR((ENTRI!S74)," ")</f>
        <v>2007</v>
      </c>
      <c r="W74" s="219" t="str">
        <f t="shared" si="46"/>
        <v>16-07-2007</v>
      </c>
      <c r="X74" s="219">
        <f>IFERROR((ENTRI!T74)," ")</f>
        <v>18</v>
      </c>
      <c r="Y74" s="219">
        <f>IFERROR((ENTRI!U74)," ")</f>
        <v>18</v>
      </c>
      <c r="Z74" s="219">
        <f>IFERROR((ENTRI!V74)," ")</f>
        <v>18</v>
      </c>
      <c r="AA74" s="219">
        <f>IFERROR((ENTRI!W74)," ")</f>
        <v>18</v>
      </c>
      <c r="AB74" s="219" t="str">
        <f>IFERROR((ENTRI!X74)," ")</f>
        <v>S1</v>
      </c>
      <c r="AC74" s="219" t="str">
        <f>IFERROR((ENTRI!Y74)," ")</f>
        <v xml:space="preserve">Pendidikan Akuntansi</v>
      </c>
      <c r="AD74" s="219">
        <f>IFERROR((ENTRI!Z74)," ")</f>
        <v>2005</v>
      </c>
      <c r="AE74" s="219">
        <f>IFERROR((ENTRI!AA74)," ")</f>
        <v>0</v>
      </c>
      <c r="AF74" s="219">
        <f>IFERROR((ENTRI!AB74)," ")</f>
        <v>0</v>
      </c>
      <c r="AG74" s="219" t="str">
        <f>IFERROR((ENTRI!AC74)," ")</f>
        <v xml:space="preserve"> </v>
      </c>
      <c r="AH74" s="219">
        <f>IFERROR((ENTRI!AD74)," ")</f>
        <v>0</v>
      </c>
      <c r="AI74" s="219" t="str">
        <f>IFERROR((ENTRI!AE74)," ")</f>
        <v xml:space="preserve">Aplikasi presentasi,prosedur administrasi,mengelola pertemuan,menggandakan dokumen,mengelola perjalanan bisnis,aplikasi administrasi ditempat kerja</v>
      </c>
      <c r="AJ74" s="219">
        <f>IFERROR((ENTRI!AF74)," ")</f>
        <v>24</v>
      </c>
      <c r="AK74" s="219" t="str">
        <f>IFERROR((ENTRI!AG74)," ")</f>
        <v>-</v>
      </c>
      <c r="AL74" s="219" t="str">
        <f>IFERROR((ENTRI!AH74)," ")</f>
        <v>-</v>
      </c>
      <c r="AM74" s="219" t="str">
        <f>IFERROR((ENTRI!AI74)," ")</f>
        <v xml:space="preserve"> </v>
      </c>
      <c r="AN74" s="219">
        <f>IFERROR((ENTRI!AJ74)," ")</f>
        <v>0</v>
      </c>
      <c r="AO74" s="219">
        <f>IFERROR((ENTRI!AK74)," ")</f>
        <v>0</v>
      </c>
      <c r="AP74" s="219">
        <f>IFERROR((ENTRI!AL74)," ")</f>
        <v>0</v>
      </c>
      <c r="AQ74" s="219" t="str">
        <f>IFERROR((ENTRI!AM74)," ")</f>
        <v>3437761662300062</v>
      </c>
      <c r="AR74" s="216" t="str">
        <f>E74&amp;"."&amp;H74&amp;"."&amp;AW74&amp;"."&amp;ENTRI!$E$4</f>
        <v>07.01.067.2025</v>
      </c>
      <c r="AS74" t="str">
        <f>"YPP.QH/KP.01."&amp;E74&amp;"/"&amp;AW74&amp;"/"&amp;ENTRI!$E$4</f>
        <v>YPP.QH/KP.01.07/067/2025</v>
      </c>
      <c r="AW74" s="277" t="s">
        <v>962</v>
      </c>
    </row>
    <row r="75">
      <c r="A75">
        <f t="shared" si="47"/>
        <v>69</v>
      </c>
      <c r="B75" s="276">
        <f t="shared" si="48"/>
        <v>2003</v>
      </c>
      <c r="C75" s="277">
        <v>68</v>
      </c>
      <c r="D75" s="219" t="str">
        <f>IFERROR(IF(ENTRI!B75=$AZ$9,$BA$9,IF(ENTRI!B75=$AZ$10,$BA$10,IF(ENTRI!B75=$AZ$11,$BA$11,IF(ENTRI!B75=$AZ$12,$BA$12,IF(ENTRI!B75=$AZ$13,$BA$13,IF(ENTRI!B75=$AZ$14,$BA$14,IF(ENTRI!B75=$AZ$15,$BA$15,IF(ENTRI!B75=$AZ$16,$BA$16,IF(ENTRI!B75=$AZ$17,$BA$17,IF(ENTRI!B75=$AZ$18,$BA$18," "))))))))))," ")</f>
        <v xml:space="preserve">SMK Qomarul Hidayah 2 Tugu</v>
      </c>
      <c r="E75" s="219" t="str">
        <f>IFERROR((ENTRI!C75)," ")</f>
        <v>07</v>
      </c>
      <c r="F75" s="219">
        <f t="shared" si="43"/>
        <v>69</v>
      </c>
      <c r="G75" s="219" t="str">
        <f>IFERROR((ENTRI!E75)," ")</f>
        <v>Guru</v>
      </c>
      <c r="H75" s="219" t="str">
        <f>IFERROR((ENTRI!F75)," ")</f>
        <v>01</v>
      </c>
      <c r="I75" s="219" t="str">
        <f>IFERROR((ENTRI!G75)," ")</f>
        <v xml:space="preserve">TRI HARTINI, S.Pd</v>
      </c>
      <c r="J75" s="219" t="str">
        <f>IFERROR((ENTRI!H75)," ")</f>
        <v xml:space="preserve">19890131  201007 07 01 63</v>
      </c>
      <c r="K75" s="219" t="str">
        <f>IFERROR((ENTRI!I75)," ")</f>
        <v>Trenggalek</v>
      </c>
      <c r="L75" s="219">
        <f>IFERROR((ENTRI!J75)," ")</f>
        <v>31</v>
      </c>
      <c r="M75" s="219" t="str">
        <f>IFERROR((ENTRI!K75)," ")</f>
        <v>01</v>
      </c>
      <c r="N75" s="219">
        <f>IFERROR((ENTRI!L75)," ")</f>
        <v>1989</v>
      </c>
      <c r="O75" s="219" t="str">
        <f t="shared" si="44"/>
        <v xml:space="preserve">Trenggalek, 31-01-1989</v>
      </c>
      <c r="P75" s="219">
        <f>IFERROR((ENTRI!N75)," ")</f>
        <v>12</v>
      </c>
      <c r="Q75" s="219" t="str">
        <f>IFERROR((ENTRI!O75)," ")</f>
        <v>07</v>
      </c>
      <c r="R75" s="219">
        <f>IFERROR((ENTRI!P75)," ")</f>
        <v>2010</v>
      </c>
      <c r="S75" s="219" t="str">
        <f t="shared" si="45"/>
        <v>12-07-2010</v>
      </c>
      <c r="T75" s="219">
        <f>IFERROR((ENTRI!Q75)," ")</f>
        <v>11</v>
      </c>
      <c r="U75" s="219" t="str">
        <f>IFERROR((ENTRI!R75)," ")</f>
        <v>07</v>
      </c>
      <c r="V75" s="219">
        <f>IFERROR((ENTRI!S75)," ")</f>
        <v>2010</v>
      </c>
      <c r="W75" s="219" t="str">
        <f t="shared" si="46"/>
        <v>11-07-2010</v>
      </c>
      <c r="X75" s="219">
        <f>IFERROR((ENTRI!T75)," ")</f>
        <v>15</v>
      </c>
      <c r="Y75" s="219">
        <f>IFERROR((ENTRI!U75)," ")</f>
        <v>15</v>
      </c>
      <c r="Z75" s="219">
        <f>IFERROR((ENTRI!V75)," ")</f>
        <v>15</v>
      </c>
      <c r="AA75" s="219">
        <f>IFERROR((ENTRI!W75)," ")</f>
        <v>15</v>
      </c>
      <c r="AB75" s="219" t="str">
        <f>IFERROR((ENTRI!X75)," ")</f>
        <v>S1</v>
      </c>
      <c r="AC75" s="219" t="str">
        <f>IFERROR((ENTRI!Y75)," ")</f>
        <v xml:space="preserve">Pendidikan Matematika</v>
      </c>
      <c r="AD75" s="219">
        <f>IFERROR((ENTRI!Z75)," ")</f>
        <v>2011</v>
      </c>
      <c r="AE75" s="219">
        <f>IFERROR((ENTRI!AA75)," ")</f>
        <v>0</v>
      </c>
      <c r="AF75" s="219">
        <f>IFERROR((ENTRI!AB75)," ")</f>
        <v>0</v>
      </c>
      <c r="AG75" s="219" t="str">
        <f>IFERROR((ENTRI!AC75)," ")</f>
        <v xml:space="preserve"> </v>
      </c>
      <c r="AH75" s="219">
        <f>IFERROR((ENTRI!AD75)," ")</f>
        <v>0</v>
      </c>
      <c r="AI75" s="219" t="str">
        <f>IFERROR((ENTRI!AE75)," ")</f>
        <v xml:space="preserve">Matematika </v>
      </c>
      <c r="AJ75" s="219">
        <f>IFERROR((ENTRI!AF75)," ")</f>
        <v>27</v>
      </c>
      <c r="AK75" s="219" t="str">
        <f>IFERROR((ENTRI!AG75)," ")</f>
        <v>-</v>
      </c>
      <c r="AL75" s="219" t="str">
        <f>IFERROR((ENTRI!AH75)," ")</f>
        <v>-</v>
      </c>
      <c r="AM75" s="219" t="str">
        <f>IFERROR((ENTRI!AI75)," ")</f>
        <v xml:space="preserve"> </v>
      </c>
      <c r="AN75" s="219">
        <f>IFERROR((ENTRI!AJ75)," ")</f>
        <v>0</v>
      </c>
      <c r="AO75" s="219">
        <f>IFERROR((ENTRI!AK75)," ")</f>
        <v>0</v>
      </c>
      <c r="AP75" s="219">
        <f>IFERROR((ENTRI!AL75)," ")</f>
        <v>0</v>
      </c>
      <c r="AQ75" s="219">
        <f>IFERROR((ENTRI!AM75)," ")</f>
        <v>0</v>
      </c>
      <c r="AR75" s="216" t="str">
        <f>E75&amp;"."&amp;H75&amp;"."&amp;AW75&amp;"."&amp;ENTRI!$E$4</f>
        <v>07.01.068.2025</v>
      </c>
      <c r="AS75" t="str">
        <f>"YPP.QH/KP.01."&amp;E75&amp;"/"&amp;AW75&amp;"/"&amp;ENTRI!$E$4</f>
        <v>YPP.QH/KP.01.07/068/2025</v>
      </c>
      <c r="AW75" s="277" t="s">
        <v>963</v>
      </c>
    </row>
    <row r="76">
      <c r="A76">
        <f t="shared" si="47"/>
        <v>86</v>
      </c>
      <c r="B76" s="276">
        <f t="shared" si="48"/>
        <v>2006</v>
      </c>
      <c r="C76" s="277">
        <v>69</v>
      </c>
      <c r="D76" s="219" t="str">
        <f>IFERROR(IF(ENTRI!B76=$AZ$9,$BA$9,IF(ENTRI!B76=$AZ$10,$BA$10,IF(ENTRI!B76=$AZ$11,$BA$11,IF(ENTRI!B76=$AZ$12,$BA$12,IF(ENTRI!B76=$AZ$13,$BA$13,IF(ENTRI!B76=$AZ$14,$BA$14,IF(ENTRI!B76=$AZ$15,$BA$15,IF(ENTRI!B76=$AZ$16,$BA$16,IF(ENTRI!B76=$AZ$17,$BA$17,IF(ENTRI!B76=$AZ$18,$BA$18," "))))))))))," ")</f>
        <v xml:space="preserve">SMK Qomarul Hidayah 2 Tugu</v>
      </c>
      <c r="E76" s="219" t="str">
        <f>IFERROR((ENTRI!C76)," ")</f>
        <v>07</v>
      </c>
      <c r="F76" s="219">
        <f t="shared" si="43"/>
        <v>86</v>
      </c>
      <c r="G76" s="219" t="str">
        <f>IFERROR((ENTRI!E76)," ")</f>
        <v>Guru</v>
      </c>
      <c r="H76" s="219" t="str">
        <f>IFERROR((ENTRI!F76)," ")</f>
        <v>01</v>
      </c>
      <c r="I76" s="219" t="str">
        <f>IFERROR((ENTRI!G76)," ")</f>
        <v xml:space="preserve">SUSTI ARISTA, S.Pd</v>
      </c>
      <c r="J76" s="219" t="str">
        <f>IFERROR((ENTRI!H76)," ")</f>
        <v xml:space="preserve">19900311  201307 07 01 34</v>
      </c>
      <c r="K76" s="219" t="str">
        <f>IFERROR((ENTRI!I76)," ")</f>
        <v>Trenggalek</v>
      </c>
      <c r="L76" s="219">
        <f>IFERROR((ENTRI!J76)," ")</f>
        <v>11</v>
      </c>
      <c r="M76" s="219" t="str">
        <f>IFERROR((ENTRI!K76)," ")</f>
        <v>03</v>
      </c>
      <c r="N76" s="219">
        <f>IFERROR((ENTRI!L76)," ")</f>
        <v>1990</v>
      </c>
      <c r="O76" s="219" t="str">
        <f t="shared" si="44"/>
        <v xml:space="preserve">Trenggalek, 11-03-1990</v>
      </c>
      <c r="P76" s="219" t="str">
        <f>IFERROR((ENTRI!N76)," ")</f>
        <v>16</v>
      </c>
      <c r="Q76" s="219" t="str">
        <f>IFERROR((ENTRI!O76)," ")</f>
        <v>07</v>
      </c>
      <c r="R76" s="219">
        <f>IFERROR((ENTRI!P76)," ")</f>
        <v>2013</v>
      </c>
      <c r="S76" s="219" t="str">
        <f t="shared" si="45"/>
        <v>16-07-2013</v>
      </c>
      <c r="T76" s="219" t="str">
        <f>IFERROR((ENTRI!Q76)," ")</f>
        <v>16</v>
      </c>
      <c r="U76" s="219" t="str">
        <f>IFERROR((ENTRI!R76)," ")</f>
        <v>07</v>
      </c>
      <c r="V76" s="219">
        <f>IFERROR((ENTRI!S76)," ")</f>
        <v>2013</v>
      </c>
      <c r="W76" s="219" t="str">
        <f t="shared" si="46"/>
        <v>16-07-2013</v>
      </c>
      <c r="X76" s="219">
        <f>IFERROR((ENTRI!T76)," ")</f>
        <v>12</v>
      </c>
      <c r="Y76" s="219">
        <f>IFERROR((ENTRI!U76)," ")</f>
        <v>12</v>
      </c>
      <c r="Z76" s="219">
        <f>IFERROR((ENTRI!V76)," ")</f>
        <v>12</v>
      </c>
      <c r="AA76" s="219">
        <f>IFERROR((ENTRI!W76)," ")</f>
        <v>12</v>
      </c>
      <c r="AB76" s="219" t="str">
        <f>IFERROR((ENTRI!X76)," ")</f>
        <v>S1</v>
      </c>
      <c r="AC76" s="219" t="str">
        <f>IFERROR((ENTRI!Y76)," ")</f>
        <v xml:space="preserve">Pendidikan Bahasa dan Sastra Indonesia</v>
      </c>
      <c r="AD76" s="219">
        <f>IFERROR((ENTRI!Z76)," ")</f>
        <v>2012</v>
      </c>
      <c r="AE76" s="219">
        <f>IFERROR((ENTRI!AA76)," ")</f>
        <v>0</v>
      </c>
      <c r="AF76" s="219">
        <f>IFERROR((ENTRI!AB76)," ")</f>
        <v>0</v>
      </c>
      <c r="AG76" s="219" t="str">
        <f>IFERROR((ENTRI!AC76)," ")</f>
        <v xml:space="preserve"> </v>
      </c>
      <c r="AH76" s="219">
        <f>IFERROR((ENTRI!AD76)," ")</f>
        <v>0</v>
      </c>
      <c r="AI76" s="219" t="str">
        <f>IFERROR((ENTRI!AE76)," ")</f>
        <v xml:space="preserve">Bahasa Indonesia, Bahasa Jawa </v>
      </c>
      <c r="AJ76" s="219">
        <f>IFERROR((ENTRI!AF76)," ")</f>
        <v>18</v>
      </c>
      <c r="AK76" s="219" t="str">
        <f>IFERROR((ENTRI!AG76)," ")</f>
        <v>-</v>
      </c>
      <c r="AL76" s="219" t="str">
        <f>IFERROR((ENTRI!AH76)," ")</f>
        <v>-</v>
      </c>
      <c r="AM76" s="219" t="str">
        <f>IFERROR((ENTRI!AI76)," ")</f>
        <v xml:space="preserve"> </v>
      </c>
      <c r="AN76" s="219">
        <f>IFERROR((ENTRI!AJ76)," ")</f>
        <v>0</v>
      </c>
      <c r="AO76" s="219">
        <f>IFERROR((ENTRI!AK76)," ")</f>
        <v>0</v>
      </c>
      <c r="AP76" s="219">
        <f>IFERROR((ENTRI!AL76)," ")</f>
        <v>0</v>
      </c>
      <c r="AQ76" s="219">
        <f>IFERROR((ENTRI!AM76)," ")</f>
        <v>0</v>
      </c>
      <c r="AR76" s="216" t="str">
        <f>E76&amp;"."&amp;H76&amp;"."&amp;AW76&amp;"."&amp;ENTRI!$E$4</f>
        <v>07.01.069.2025</v>
      </c>
      <c r="AS76" t="str">
        <f>"YPP.QH/KP.01."&amp;E76&amp;"/"&amp;AW76&amp;"/"&amp;ENTRI!$E$4</f>
        <v>YPP.QH/KP.01.07/069/2025</v>
      </c>
      <c r="AW76" s="277" t="s">
        <v>964</v>
      </c>
    </row>
    <row r="77">
      <c r="A77">
        <f t="shared" si="47"/>
        <v>82</v>
      </c>
      <c r="B77" s="276">
        <f t="shared" si="48"/>
        <v>2005</v>
      </c>
      <c r="C77" s="277">
        <v>70</v>
      </c>
      <c r="D77" s="219" t="str">
        <f>IFERROR(IF(ENTRI!B77=$AZ$9,$BA$9,IF(ENTRI!B77=$AZ$10,$BA$10,IF(ENTRI!B77=$AZ$11,$BA$11,IF(ENTRI!B77=$AZ$12,$BA$12,IF(ENTRI!B77=$AZ$13,$BA$13,IF(ENTRI!B77=$AZ$14,$BA$14,IF(ENTRI!B77=$AZ$15,$BA$15,IF(ENTRI!B77=$AZ$16,$BA$16,IF(ENTRI!B77=$AZ$17,$BA$17,IF(ENTRI!B77=$AZ$18,$BA$18," "))))))))))," ")</f>
        <v xml:space="preserve">SMK Qomarul Hidayah 2 Tugu</v>
      </c>
      <c r="E77" s="219" t="str">
        <f>IFERROR((ENTRI!C77)," ")</f>
        <v>07</v>
      </c>
      <c r="F77" s="219">
        <f t="shared" si="43"/>
        <v>82</v>
      </c>
      <c r="G77" s="219" t="str">
        <f>IFERROR((ENTRI!E77)," ")</f>
        <v>Guru</v>
      </c>
      <c r="H77" s="219" t="str">
        <f>IFERROR((ENTRI!F77)," ")</f>
        <v>01</v>
      </c>
      <c r="I77" s="219" t="str">
        <f>IFERROR((ENTRI!G77)," ")</f>
        <v xml:space="preserve">ATIS TIA MAHARANI, S.Pd</v>
      </c>
      <c r="J77" s="219" t="str">
        <f>IFERROR((ENTRI!H77)," ")</f>
        <v xml:space="preserve">19880525  201207 07 01 74</v>
      </c>
      <c r="K77" s="219" t="str">
        <f>IFERROR((ENTRI!I77)," ")</f>
        <v>Bojonegoro</v>
      </c>
      <c r="L77" s="219">
        <f>IFERROR((ENTRI!J77)," ")</f>
        <v>25</v>
      </c>
      <c r="M77" s="219" t="str">
        <f>IFERROR((ENTRI!K77)," ")</f>
        <v>05</v>
      </c>
      <c r="N77" s="219">
        <f>IFERROR((ENTRI!L77)," ")</f>
        <v>1988</v>
      </c>
      <c r="O77" s="219" t="str">
        <f t="shared" si="44"/>
        <v xml:space="preserve">Bojonegoro, 25-05-1988</v>
      </c>
      <c r="P77" s="219">
        <f>IFERROR((ENTRI!N77)," ")</f>
        <v>9</v>
      </c>
      <c r="Q77" s="219" t="str">
        <f>IFERROR((ENTRI!O77)," ")</f>
        <v>07</v>
      </c>
      <c r="R77" s="219">
        <f>IFERROR((ENTRI!P77)," ")</f>
        <v>2012</v>
      </c>
      <c r="S77" s="219" t="str">
        <f t="shared" si="45"/>
        <v>9-07-2012</v>
      </c>
      <c r="T77" s="219" t="str">
        <f>IFERROR((ENTRI!Q77)," ")</f>
        <v>09</v>
      </c>
      <c r="U77" s="219" t="str">
        <f>IFERROR((ENTRI!R77)," ")</f>
        <v>07</v>
      </c>
      <c r="V77" s="219">
        <f>IFERROR((ENTRI!S77)," ")</f>
        <v>2012</v>
      </c>
      <c r="W77" s="219" t="str">
        <f t="shared" si="46"/>
        <v>09-07-2012</v>
      </c>
      <c r="X77" s="219">
        <f>IFERROR((ENTRI!T77)," ")</f>
        <v>13</v>
      </c>
      <c r="Y77" s="219">
        <f>IFERROR((ENTRI!U77)," ")</f>
        <v>13</v>
      </c>
      <c r="Z77" s="219">
        <f>IFERROR((ENTRI!V77)," ")</f>
        <v>13</v>
      </c>
      <c r="AA77" s="219">
        <f>IFERROR((ENTRI!W77)," ")</f>
        <v>13</v>
      </c>
      <c r="AB77" s="219" t="str">
        <f>IFERROR((ENTRI!X77)," ")</f>
        <v>S1</v>
      </c>
      <c r="AC77" s="219" t="str">
        <f>IFERROR((ENTRI!Y77)," ")</f>
        <v xml:space="preserve">Bimbingan Konseling </v>
      </c>
      <c r="AD77" s="219">
        <f>IFERROR((ENTRI!Z77)," ")</f>
        <v>2011</v>
      </c>
      <c r="AE77" s="219">
        <f>IFERROR((ENTRI!AA77)," ")</f>
        <v>0</v>
      </c>
      <c r="AF77" s="219">
        <f>IFERROR((ENTRI!AB77)," ")</f>
        <v>0</v>
      </c>
      <c r="AG77" s="219" t="str">
        <f>IFERROR((ENTRI!AC77)," ")</f>
        <v xml:space="preserve"> </v>
      </c>
      <c r="AH77" s="219">
        <f>IFERROR((ENTRI!AD77)," ")</f>
        <v>0</v>
      </c>
      <c r="AI77" s="219" t="str">
        <f>IFERROR((ENTRI!AE77)," ")</f>
        <v xml:space="preserve">Pengembangan Diri </v>
      </c>
      <c r="AJ77" s="219">
        <f>IFERROR((ENTRI!AF77)," ")</f>
        <v>5</v>
      </c>
      <c r="AK77" s="219" t="str">
        <f>IFERROR((ENTRI!AG77)," ")</f>
        <v>-</v>
      </c>
      <c r="AL77" s="219" t="str">
        <f>IFERROR((ENTRI!AH77)," ")</f>
        <v>-</v>
      </c>
      <c r="AM77" s="219" t="str">
        <f>IFERROR((ENTRI!AI77)," ")</f>
        <v xml:space="preserve"> </v>
      </c>
      <c r="AN77" s="219">
        <f>IFERROR((ENTRI!AJ77)," ")</f>
        <v>0</v>
      </c>
      <c r="AO77" s="219">
        <f>IFERROR((ENTRI!AK77)," ")</f>
        <v>0</v>
      </c>
      <c r="AP77" s="219">
        <f>IFERROR((ENTRI!AL77)," ")</f>
        <v>0</v>
      </c>
      <c r="AQ77" s="219">
        <f>IFERROR((ENTRI!AM77)," ")</f>
        <v>0</v>
      </c>
      <c r="AR77" s="216" t="str">
        <f>E77&amp;"."&amp;H77&amp;"."&amp;AW77&amp;"."&amp;ENTRI!$E$4</f>
        <v>07.01.070.2025</v>
      </c>
      <c r="AS77" t="str">
        <f>"YPP.QH/KP.01."&amp;E77&amp;"/"&amp;AW77&amp;"/"&amp;ENTRI!$E$4</f>
        <v>YPP.QH/KP.01.07/070/2025</v>
      </c>
      <c r="AW77" s="277" t="s">
        <v>965</v>
      </c>
    </row>
    <row r="78">
      <c r="A78">
        <f t="shared" si="47"/>
        <v>33</v>
      </c>
      <c r="B78" s="276">
        <f t="shared" si="48"/>
        <v>1997</v>
      </c>
      <c r="C78" s="277">
        <v>71</v>
      </c>
      <c r="D78" s="219" t="str">
        <f>IFERROR(IF(ENTRI!B78=$AZ$9,$BA$9,IF(ENTRI!B78=$AZ$10,$BA$10,IF(ENTRI!B78=$AZ$11,$BA$11,IF(ENTRI!B78=$AZ$12,$BA$12,IF(ENTRI!B78=$AZ$13,$BA$13,IF(ENTRI!B78=$AZ$14,$BA$14,IF(ENTRI!B78=$AZ$15,$BA$15,IF(ENTRI!B78=$AZ$16,$BA$16,IF(ENTRI!B78=$AZ$17,$BA$17,IF(ENTRI!B78=$AZ$18,$BA$18," "))))))))))," ")</f>
        <v xml:space="preserve">SMK Qomarul Hidayah 2 Tugu</v>
      </c>
      <c r="E78" s="219" t="str">
        <f>IFERROR((ENTRI!C78)," ")</f>
        <v>07</v>
      </c>
      <c r="F78" s="219">
        <f t="shared" si="43"/>
        <v>33</v>
      </c>
      <c r="G78" s="219" t="str">
        <f>IFERROR((ENTRI!E78)," ")</f>
        <v xml:space="preserve">Tenaga Kependidikan</v>
      </c>
      <c r="H78" s="219" t="str">
        <f>IFERROR((ENTRI!F78)," ")</f>
        <v>02</v>
      </c>
      <c r="I78" s="219" t="str">
        <f>IFERROR((ENTRI!G78)," ")</f>
        <v xml:space="preserve">HADIQUN NUHA A,Ma</v>
      </c>
      <c r="J78" s="219" t="str">
        <f>IFERROR((ENTRI!H78)," ")</f>
        <v xml:space="preserve">19840818  200407 07 02 81</v>
      </c>
      <c r="K78" s="219" t="str">
        <f>IFERROR((ENTRI!I78)," ")</f>
        <v>Trenggalek</v>
      </c>
      <c r="L78" s="219">
        <f>IFERROR((ENTRI!J78)," ")</f>
        <v>18</v>
      </c>
      <c r="M78" s="219" t="str">
        <f>IFERROR((ENTRI!K78)," ")</f>
        <v>08</v>
      </c>
      <c r="N78" s="219">
        <f>IFERROR((ENTRI!L78)," ")</f>
        <v>1984</v>
      </c>
      <c r="O78" s="219" t="str">
        <f t="shared" si="44"/>
        <v xml:space="preserve">Trenggalek, 18-08-1984</v>
      </c>
      <c r="P78" s="219">
        <f>IFERROR((ENTRI!N78)," ")</f>
        <v>17</v>
      </c>
      <c r="Q78" s="219" t="str">
        <f>IFERROR((ENTRI!O78)," ")</f>
        <v>07</v>
      </c>
      <c r="R78" s="219">
        <f>IFERROR((ENTRI!P78)," ")</f>
        <v>2004</v>
      </c>
      <c r="S78" s="219" t="str">
        <f t="shared" si="45"/>
        <v>17-07-2004</v>
      </c>
      <c r="T78" s="219">
        <f>IFERROR((ENTRI!Q78)," ")</f>
        <v>17</v>
      </c>
      <c r="U78" s="219" t="str">
        <f>IFERROR((ENTRI!R78)," ")</f>
        <v>07</v>
      </c>
      <c r="V78" s="219">
        <f>IFERROR((ENTRI!S78)," ")</f>
        <v>2004</v>
      </c>
      <c r="W78" s="219" t="str">
        <f t="shared" si="46"/>
        <v>17-07-2004</v>
      </c>
      <c r="X78" s="219">
        <f>IFERROR((ENTRI!T78)," ")</f>
        <v>21</v>
      </c>
      <c r="Y78" s="219">
        <f>IFERROR((ENTRI!U78)," ")</f>
        <v>21</v>
      </c>
      <c r="Z78" s="219">
        <f>IFERROR((ENTRI!V78)," ")</f>
        <v>21</v>
      </c>
      <c r="AA78" s="219">
        <f>IFERROR((ENTRI!W78)," ")</f>
        <v>21</v>
      </c>
      <c r="AB78" s="219" t="str">
        <f>IFERROR((ENTRI!X78)," ")</f>
        <v xml:space="preserve">D II</v>
      </c>
      <c r="AC78" s="219" t="str">
        <f>IFERROR((ENTRI!Y78)," ")</f>
        <v>PGSD/PGMI</v>
      </c>
      <c r="AD78" s="219">
        <f>IFERROR((ENTRI!Z78)," ")</f>
        <v>2006</v>
      </c>
      <c r="AE78" s="219">
        <f>IFERROR((ENTRI!AA78)," ")</f>
        <v>0</v>
      </c>
      <c r="AF78" s="219">
        <f>IFERROR((ENTRI!AB78)," ")</f>
        <v>0</v>
      </c>
      <c r="AG78" s="219" t="str">
        <f>IFERROR((ENTRI!AC78)," ")</f>
        <v xml:space="preserve"> </v>
      </c>
      <c r="AH78" s="219">
        <f>IFERROR((ENTRI!AD78)," ")</f>
        <v>0</v>
      </c>
      <c r="AI78" s="219">
        <f>IFERROR((ENTRI!AE78)," ")</f>
        <v>0</v>
      </c>
      <c r="AJ78" s="219">
        <f>IFERROR((ENTRI!AF78)," ")</f>
        <v>0</v>
      </c>
      <c r="AK78" s="219" t="str">
        <f>IFERROR((ENTRI!AG78)," ")</f>
        <v xml:space="preserve">Kepala Tata Usaha</v>
      </c>
      <c r="AL78" s="219" t="str">
        <f>IFERROR((ENTRI!AH78)," ")</f>
        <v>-</v>
      </c>
      <c r="AM78" s="219" t="str">
        <f>IFERROR((ENTRI!AI78)," ")</f>
        <v xml:space="preserve"> </v>
      </c>
      <c r="AN78" s="219">
        <f>IFERROR((ENTRI!AJ78)," ")</f>
        <v>0</v>
      </c>
      <c r="AO78" s="219">
        <f>IFERROR((ENTRI!AK78)," ")</f>
        <v>0</v>
      </c>
      <c r="AP78" s="219">
        <f>IFERROR((ENTRI!AL78)," ")</f>
        <v>0</v>
      </c>
      <c r="AQ78" s="219" t="str">
        <f>IFERROR((ENTRI!AM78)," ")</f>
        <v>6150763665200020</v>
      </c>
      <c r="AR78" s="216" t="str">
        <f>E78&amp;"."&amp;H78&amp;"."&amp;AW78&amp;"."&amp;ENTRI!$E$4</f>
        <v>07.02.071.2025</v>
      </c>
      <c r="AS78" t="str">
        <f>"YPP.QH/KP.01."&amp;E78&amp;"/"&amp;AW78&amp;"/"&amp;ENTRI!$E$4</f>
        <v>YPP.QH/KP.01.07/071/2025</v>
      </c>
      <c r="AW78" s="277" t="s">
        <v>966</v>
      </c>
    </row>
    <row r="79">
      <c r="A79">
        <f t="shared" si="47"/>
        <v>69</v>
      </c>
      <c r="B79" s="276">
        <f t="shared" si="48"/>
        <v>2003</v>
      </c>
      <c r="C79" s="277">
        <v>72</v>
      </c>
      <c r="D79" s="219" t="str">
        <f>IFERROR(IF(ENTRI!B79=$AZ$9,$BA$9,IF(ENTRI!B79=$AZ$10,$BA$10,IF(ENTRI!B79=$AZ$11,$BA$11,IF(ENTRI!B79=$AZ$12,$BA$12,IF(ENTRI!B79=$AZ$13,$BA$13,IF(ENTRI!B79=$AZ$14,$BA$14,IF(ENTRI!B79=$AZ$15,$BA$15,IF(ENTRI!B79=$AZ$16,$BA$16,IF(ENTRI!B79=$AZ$17,$BA$17,IF(ENTRI!B79=$AZ$18,$BA$18," "))))))))))," ")</f>
        <v xml:space="preserve">SMK Qomarul Hidayah 2 Tugu</v>
      </c>
      <c r="E79" s="219" t="str">
        <f>IFERROR((ENTRI!C79)," ")</f>
        <v>07</v>
      </c>
      <c r="F79" s="219">
        <f t="shared" si="43"/>
        <v>69</v>
      </c>
      <c r="G79" s="219" t="str">
        <f>IFERROR((ENTRI!E79)," ")</f>
        <v>Guru</v>
      </c>
      <c r="H79" s="219" t="str">
        <f>IFERROR((ENTRI!F79)," ")</f>
        <v>01</v>
      </c>
      <c r="I79" s="219" t="str">
        <f>IFERROR((ENTRI!G79)," ")</f>
        <v xml:space="preserve">DWI NUR INDAHSARI, S.Pd</v>
      </c>
      <c r="J79" s="219" t="str">
        <f>IFERROR((ENTRI!H79)," ")</f>
        <v xml:space="preserve">19910807  201007 07 01 </v>
      </c>
      <c r="K79" s="219" t="str">
        <f>IFERROR((ENTRI!I79)," ")</f>
        <v>Trenggalek</v>
      </c>
      <c r="L79" s="219" t="str">
        <f>IFERROR((ENTRI!J79)," ")</f>
        <v>07</v>
      </c>
      <c r="M79" s="219" t="str">
        <f>IFERROR((ENTRI!K79)," ")</f>
        <v>08</v>
      </c>
      <c r="N79" s="219">
        <f>IFERROR((ENTRI!L79)," ")</f>
        <v>1991</v>
      </c>
      <c r="O79" s="219" t="str">
        <f t="shared" si="44"/>
        <v xml:space="preserve">Trenggalek, 07-08-1991</v>
      </c>
      <c r="P79" s="219">
        <f>IFERROR((ENTRI!N79)," ")</f>
        <v>12</v>
      </c>
      <c r="Q79" s="219" t="str">
        <f>IFERROR((ENTRI!O79)," ")</f>
        <v>07</v>
      </c>
      <c r="R79" s="219">
        <f>IFERROR((ENTRI!P79)," ")</f>
        <v>2010</v>
      </c>
      <c r="S79" s="219" t="str">
        <f t="shared" si="45"/>
        <v>12-07-2010</v>
      </c>
      <c r="T79" s="219">
        <f>IFERROR((ENTRI!Q79)," ")</f>
        <v>12</v>
      </c>
      <c r="U79" s="219" t="str">
        <f>IFERROR((ENTRI!R79)," ")</f>
        <v>07</v>
      </c>
      <c r="V79" s="219">
        <f>IFERROR((ENTRI!S79)," ")</f>
        <v>2010</v>
      </c>
      <c r="W79" s="219" t="str">
        <f t="shared" si="46"/>
        <v>12-07-2010</v>
      </c>
      <c r="X79" s="219">
        <f>IFERROR((ENTRI!T79)," ")</f>
        <v>15</v>
      </c>
      <c r="Y79" s="219">
        <f>IFERROR((ENTRI!U79)," ")</f>
        <v>15</v>
      </c>
      <c r="Z79" s="219">
        <f>IFERROR((ENTRI!V79)," ")</f>
        <v>15</v>
      </c>
      <c r="AA79" s="219">
        <f>IFERROR((ENTRI!W79)," ")</f>
        <v>15</v>
      </c>
      <c r="AB79" s="219" t="str">
        <f>IFERROR((ENTRI!X79)," ")</f>
        <v>S1</v>
      </c>
      <c r="AC79" s="219" t="str">
        <f>IFERROR((ENTRI!Y79)," ")</f>
        <v xml:space="preserve">Pendidikan Bahasa Inggris</v>
      </c>
      <c r="AD79" s="219">
        <f>IFERROR((ENTRI!Z79)," ")</f>
        <v>2010</v>
      </c>
      <c r="AE79" s="219">
        <f>IFERROR((ENTRI!AA79)," ")</f>
        <v>0</v>
      </c>
      <c r="AF79" s="219">
        <f>IFERROR((ENTRI!AB79)," ")</f>
        <v>0</v>
      </c>
      <c r="AG79" s="219" t="str">
        <f>IFERROR((ENTRI!AC79)," ")</f>
        <v xml:space="preserve"> </v>
      </c>
      <c r="AH79" s="219">
        <f>IFERROR((ENTRI!AD79)," ")</f>
        <v>0</v>
      </c>
      <c r="AI79" s="219">
        <f>IFERROR((ENTRI!AE79)," ")</f>
        <v>0</v>
      </c>
      <c r="AJ79" s="219">
        <f>IFERROR((ENTRI!AF79)," ")</f>
        <v>0</v>
      </c>
      <c r="AK79" s="219" t="str">
        <f>IFERROR((ENTRI!AG79)," ")</f>
        <v>-</v>
      </c>
      <c r="AL79" s="219" t="str">
        <f>IFERROR((ENTRI!AH79)," ")</f>
        <v>-</v>
      </c>
      <c r="AM79" s="219" t="str">
        <f>IFERROR((ENTRI!AI79)," ")</f>
        <v xml:space="preserve"> </v>
      </c>
      <c r="AN79" s="219">
        <f>IFERROR((ENTRI!AJ79)," ")</f>
        <v>0</v>
      </c>
      <c r="AO79" s="219">
        <f>IFERROR((ENTRI!AK79)," ")</f>
        <v>0</v>
      </c>
      <c r="AP79" s="219">
        <f>IFERROR((ENTRI!AL79)," ")</f>
        <v>0</v>
      </c>
      <c r="AQ79" s="219">
        <f>IFERROR((ENTRI!AM79)," ")</f>
        <v>0</v>
      </c>
      <c r="AR79" s="216" t="str">
        <f>E79&amp;"."&amp;H79&amp;"."&amp;AW79&amp;"."&amp;ENTRI!$E$4</f>
        <v>07.01.072.2025</v>
      </c>
      <c r="AS79" t="str">
        <f>"YPP.QH/KP.01."&amp;E79&amp;"/"&amp;AW79&amp;"/"&amp;ENTRI!$E$4</f>
        <v>YPP.QH/KP.01.07/072/2025</v>
      </c>
      <c r="AW79" s="277" t="s">
        <v>967</v>
      </c>
    </row>
    <row r="80">
      <c r="A80">
        <f t="shared" si="47"/>
        <v>66</v>
      </c>
      <c r="B80" s="276">
        <f t="shared" si="48"/>
        <v>2002</v>
      </c>
      <c r="C80" s="277">
        <v>73</v>
      </c>
      <c r="D80" s="219" t="str">
        <f>IFERROR(IF(ENTRI!B80=$AZ$9,$BA$9,IF(ENTRI!B80=$AZ$10,$BA$10,IF(ENTRI!B80=$AZ$11,$BA$11,IF(ENTRI!B80=$AZ$12,$BA$12,IF(ENTRI!B80=$AZ$13,$BA$13,IF(ENTRI!B80=$AZ$14,$BA$14,IF(ENTRI!B80=$AZ$15,$BA$15,IF(ENTRI!B80=$AZ$16,$BA$16,IF(ENTRI!B80=$AZ$17,$BA$17,IF(ENTRI!B80=$AZ$18,$BA$18," "))))))))))," ")</f>
        <v xml:space="preserve">SMK Qomarul Hidayah 2 Tugu</v>
      </c>
      <c r="E80" s="219" t="str">
        <f>IFERROR((ENTRI!C80)," ")</f>
        <v>07</v>
      </c>
      <c r="F80" s="219">
        <f t="shared" ref="F80:F121" si="49">A80</f>
        <v>66</v>
      </c>
      <c r="G80" s="219" t="str">
        <f>IFERROR((ENTRI!E80)," ")</f>
        <v>Guru</v>
      </c>
      <c r="H80" s="219" t="str">
        <f>IFERROR((ENTRI!F80)," ")</f>
        <v>01</v>
      </c>
      <c r="I80" s="219" t="str">
        <f>IFERROR((ENTRI!G80)," ")</f>
        <v xml:space="preserve">NURPUJI ASTUTI, S.Pd</v>
      </c>
      <c r="J80" s="219" t="str">
        <f>IFERROR((ENTRI!H80)," ")</f>
        <v xml:space="preserve">19901114  200907 07 01 15</v>
      </c>
      <c r="K80" s="219" t="str">
        <f>IFERROR((ENTRI!I80)," ")</f>
        <v>Trenggalek</v>
      </c>
      <c r="L80" s="219">
        <f>IFERROR((ENTRI!J80)," ")</f>
        <v>14</v>
      </c>
      <c r="M80" s="219">
        <f>IFERROR((ENTRI!K80)," ")</f>
        <v>11</v>
      </c>
      <c r="N80" s="219">
        <f>IFERROR((ENTRI!L80)," ")</f>
        <v>1990</v>
      </c>
      <c r="O80" s="219" t="str">
        <f t="shared" ref="O80:O121" si="50">K80&amp;","&amp;" "&amp;L80&amp;"-"&amp;M80&amp;"-"&amp;N80</f>
        <v xml:space="preserve">Trenggalek, 14-11-1990</v>
      </c>
      <c r="P80" s="219">
        <f>IFERROR((ENTRI!N80)," ")</f>
        <v>13</v>
      </c>
      <c r="Q80" s="219" t="str">
        <f>IFERROR((ENTRI!O80)," ")</f>
        <v>07</v>
      </c>
      <c r="R80" s="219">
        <f>IFERROR((ENTRI!P80)," ")</f>
        <v>2009</v>
      </c>
      <c r="S80" s="219" t="str">
        <f t="shared" ref="S80:S121" si="51">P80&amp;"-"&amp;Q80&amp;"-"&amp;R80</f>
        <v>13-07-2009</v>
      </c>
      <c r="T80" s="219">
        <f>IFERROR((ENTRI!Q80)," ")</f>
        <v>12</v>
      </c>
      <c r="U80" s="219" t="str">
        <f>IFERROR((ENTRI!R80)," ")</f>
        <v>02</v>
      </c>
      <c r="V80" s="219">
        <f>IFERROR((ENTRI!S80)," ")</f>
        <v>2011</v>
      </c>
      <c r="W80" s="219" t="str">
        <f t="shared" ref="W80:W121" si="52">T80&amp;"-"&amp;U80&amp;"-"&amp;V80</f>
        <v>12-02-2011</v>
      </c>
      <c r="X80" s="219">
        <f>IFERROR((ENTRI!T80)," ")</f>
        <v>14</v>
      </c>
      <c r="Y80" s="219">
        <f>IFERROR((ENTRI!U80)," ")</f>
        <v>16</v>
      </c>
      <c r="Z80" s="219">
        <f>IFERROR((ENTRI!V80)," ")</f>
        <v>16</v>
      </c>
      <c r="AA80" s="219">
        <f>IFERROR((ENTRI!W80)," ")</f>
        <v>14</v>
      </c>
      <c r="AB80" s="219" t="str">
        <f>IFERROR((ENTRI!X80)," ")</f>
        <v>S1</v>
      </c>
      <c r="AC80" s="219" t="str">
        <f>IFERROR((ENTRI!Y80)," ")</f>
        <v xml:space="preserve">Pendiddikan Matematika </v>
      </c>
      <c r="AD80" s="219">
        <f>IFERROR((ENTRI!Z80)," ")</f>
        <v>2013</v>
      </c>
      <c r="AE80" s="219">
        <f>IFERROR((ENTRI!AA80)," ")</f>
        <v>0</v>
      </c>
      <c r="AF80" s="219">
        <f>IFERROR((ENTRI!AB80)," ")</f>
        <v>0</v>
      </c>
      <c r="AG80" s="219" t="str">
        <f>IFERROR((ENTRI!AC80)," ")</f>
        <v xml:space="preserve"> </v>
      </c>
      <c r="AH80" s="219">
        <f>IFERROR((ENTRI!AD80)," ")</f>
        <v>0</v>
      </c>
      <c r="AI80" s="219">
        <f>IFERROR((ENTRI!AE80)," ")</f>
        <v>0</v>
      </c>
      <c r="AJ80" s="219">
        <f>IFERROR((ENTRI!AF80)," ")</f>
        <v>0</v>
      </c>
      <c r="AK80" s="219" t="str">
        <f>IFERROR((ENTRI!AG80)," ")</f>
        <v>-</v>
      </c>
      <c r="AL80" s="219" t="str">
        <f>IFERROR((ENTRI!AH80)," ")</f>
        <v>-</v>
      </c>
      <c r="AM80" s="219" t="str">
        <f>IFERROR((ENTRI!AI80)," ")</f>
        <v xml:space="preserve"> </v>
      </c>
      <c r="AN80" s="219">
        <f>IFERROR((ENTRI!AJ80)," ")</f>
        <v>0</v>
      </c>
      <c r="AO80" s="219">
        <f>IFERROR((ENTRI!AK80)," ")</f>
        <v>0</v>
      </c>
      <c r="AP80" s="219">
        <f>IFERROR((ENTRI!AL80)," ")</f>
        <v>0</v>
      </c>
      <c r="AQ80" s="219">
        <f>IFERROR((ENTRI!AM80)," ")</f>
        <v>0</v>
      </c>
      <c r="AR80" s="216" t="str">
        <f>E80&amp;"."&amp;H80&amp;"."&amp;AW80&amp;"."&amp;ENTRI!$E$4</f>
        <v>07.01.073.2025</v>
      </c>
      <c r="AS80" t="str">
        <f>"YPP.QH/KP.01."&amp;E80&amp;"/"&amp;AW80&amp;"/"&amp;ENTRI!$E$4</f>
        <v>YPP.QH/KP.01.07/073/2025</v>
      </c>
      <c r="AW80" s="277" t="s">
        <v>968</v>
      </c>
    </row>
    <row r="81">
      <c r="A81">
        <f t="shared" si="47"/>
        <v>86</v>
      </c>
      <c r="B81" s="276">
        <f t="shared" si="48"/>
        <v>2006</v>
      </c>
      <c r="C81" s="277">
        <v>74</v>
      </c>
      <c r="D81" s="219" t="str">
        <f>IFERROR(IF(ENTRI!B81=$AZ$9,$BA$9,IF(ENTRI!B81=$AZ$10,$BA$10,IF(ENTRI!B81=$AZ$11,$BA$11,IF(ENTRI!B81=$AZ$12,$BA$12,IF(ENTRI!B81=$AZ$13,$BA$13,IF(ENTRI!B81=$AZ$14,$BA$14,IF(ENTRI!B81=$AZ$15,$BA$15,IF(ENTRI!B81=$AZ$16,$BA$16,IF(ENTRI!B81=$AZ$17,$BA$17,IF(ENTRI!B81=$AZ$18,$BA$18," "))))))))))," ")</f>
        <v xml:space="preserve">SMK Qomarul Hidayah 2 Tugu</v>
      </c>
      <c r="E81" s="219" t="str">
        <f>IFERROR((ENTRI!C81)," ")</f>
        <v>07</v>
      </c>
      <c r="F81" s="219">
        <f t="shared" si="49"/>
        <v>86</v>
      </c>
      <c r="G81" s="219" t="str">
        <f>IFERROR((ENTRI!E81)," ")</f>
        <v>Guru</v>
      </c>
      <c r="H81" s="219" t="str">
        <f>IFERROR((ENTRI!F81)," ")</f>
        <v>01</v>
      </c>
      <c r="I81" s="219" t="str">
        <f>IFERROR((ENTRI!G81)," ")</f>
        <v xml:space="preserve">BINTI ANIYAH, S.Pd.I</v>
      </c>
      <c r="J81" s="219" t="str">
        <f>IFERROR((ENTRI!H81)," ")</f>
        <v xml:space="preserve">19880727  201307 07 01 75</v>
      </c>
      <c r="K81" s="219" t="str">
        <f>IFERROR((ENTRI!I81)," ")</f>
        <v xml:space="preserve">Blitar </v>
      </c>
      <c r="L81" s="219">
        <f>IFERROR((ENTRI!J81)," ")</f>
        <v>27</v>
      </c>
      <c r="M81" s="219" t="str">
        <f>IFERROR((ENTRI!K81)," ")</f>
        <v>07</v>
      </c>
      <c r="N81" s="219">
        <f>IFERROR((ENTRI!L81)," ")</f>
        <v>1988</v>
      </c>
      <c r="O81" s="219" t="str">
        <f t="shared" si="50"/>
        <v xml:space="preserve">Blitar , 27-07-1988</v>
      </c>
      <c r="P81" s="219" t="str">
        <f>IFERROR((ENTRI!N81)," ")</f>
        <v>07</v>
      </c>
      <c r="Q81" s="219" t="str">
        <f>IFERROR((ENTRI!O81)," ")</f>
        <v>07</v>
      </c>
      <c r="R81" s="219">
        <f>IFERROR((ENTRI!P81)," ")</f>
        <v>2013</v>
      </c>
      <c r="S81" s="219" t="str">
        <f t="shared" si="51"/>
        <v>07-07-2013</v>
      </c>
      <c r="T81" s="219" t="str">
        <f>IFERROR((ENTRI!Q81)," ")</f>
        <v>07</v>
      </c>
      <c r="U81" s="219" t="str">
        <f>IFERROR((ENTRI!R81)," ")</f>
        <v>07</v>
      </c>
      <c r="V81" s="219">
        <f>IFERROR((ENTRI!S81)," ")</f>
        <v>2013</v>
      </c>
      <c r="W81" s="219" t="str">
        <f t="shared" si="52"/>
        <v>07-07-2013</v>
      </c>
      <c r="X81" s="219">
        <f>IFERROR((ENTRI!T81)," ")</f>
        <v>12</v>
      </c>
      <c r="Y81" s="219">
        <f>IFERROR((ENTRI!U81)," ")</f>
        <v>12</v>
      </c>
      <c r="Z81" s="219">
        <f>IFERROR((ENTRI!V81)," ")</f>
        <v>12</v>
      </c>
      <c r="AA81" s="219">
        <f>IFERROR((ENTRI!W81)," ")</f>
        <v>12</v>
      </c>
      <c r="AB81" s="219" t="str">
        <f>IFERROR((ENTRI!X81)," ")</f>
        <v>S1</v>
      </c>
      <c r="AC81" s="219" t="str">
        <f>IFERROR((ENTRI!Y81)," ")</f>
        <v xml:space="preserve">Tadris Bahasa Inggris</v>
      </c>
      <c r="AD81" s="219">
        <f>IFERROR((ENTRI!Z81)," ")</f>
        <v>2012</v>
      </c>
      <c r="AE81" s="219">
        <f>IFERROR((ENTRI!AA81)," ")</f>
        <v>0</v>
      </c>
      <c r="AF81" s="219">
        <f>IFERROR((ENTRI!AB81)," ")</f>
        <v>0</v>
      </c>
      <c r="AG81" s="219" t="str">
        <f>IFERROR((ENTRI!AC81)," ")</f>
        <v xml:space="preserve"> </v>
      </c>
      <c r="AH81" s="219">
        <f>IFERROR((ENTRI!AD81)," ")</f>
        <v>0</v>
      </c>
      <c r="AI81" s="219">
        <f>IFERROR((ENTRI!AE81)," ")</f>
        <v>0</v>
      </c>
      <c r="AJ81" s="219">
        <f>IFERROR((ENTRI!AF81)," ")</f>
        <v>0</v>
      </c>
      <c r="AK81" s="219" t="str">
        <f>IFERROR((ENTRI!AG81)," ")</f>
        <v>-</v>
      </c>
      <c r="AL81" s="219" t="str">
        <f>IFERROR((ENTRI!AH81)," ")</f>
        <v>-</v>
      </c>
      <c r="AM81" s="219" t="str">
        <f>IFERROR((ENTRI!AI81)," ")</f>
        <v xml:space="preserve"> </v>
      </c>
      <c r="AN81" s="219">
        <f>IFERROR((ENTRI!AJ81)," ")</f>
        <v>0</v>
      </c>
      <c r="AO81" s="219">
        <f>IFERROR((ENTRI!AK81)," ")</f>
        <v>0</v>
      </c>
      <c r="AP81" s="219">
        <f>IFERROR((ENTRI!AL81)," ")</f>
        <v>0</v>
      </c>
      <c r="AQ81" s="219">
        <f>IFERROR((ENTRI!AM81)," ")</f>
        <v>0</v>
      </c>
      <c r="AR81" s="216" t="str">
        <f>E81&amp;"."&amp;H81&amp;"."&amp;AW81&amp;"."&amp;ENTRI!$E$4</f>
        <v>07.01.074.2025</v>
      </c>
      <c r="AS81" t="str">
        <f>"YPP.QH/KP.01."&amp;E81&amp;"/"&amp;AW81&amp;"/"&amp;ENTRI!$E$4</f>
        <v>YPP.QH/KP.01.07/074/2025</v>
      </c>
      <c r="AW81" s="277" t="s">
        <v>969</v>
      </c>
    </row>
    <row r="82">
      <c r="A82">
        <f t="shared" si="47"/>
        <v>2</v>
      </c>
      <c r="B82" s="276">
        <f t="shared" si="48"/>
        <v>1977</v>
      </c>
      <c r="C82" s="277">
        <v>75</v>
      </c>
      <c r="D82" s="219" t="str">
        <f>IFERROR(IF(ENTRI!B82=$AZ$9,$BA$9,IF(ENTRI!B82=$AZ$10,$BA$10,IF(ENTRI!B82=$AZ$11,$BA$11,IF(ENTRI!B82=$AZ$12,$BA$12,IF(ENTRI!B82=$AZ$13,$BA$13,IF(ENTRI!B82=$AZ$14,$BA$14,IF(ENTRI!B82=$AZ$15,$BA$15,IF(ENTRI!B82=$AZ$16,$BA$16,IF(ENTRI!B82=$AZ$17,$BA$17,IF(ENTRI!B82=$AZ$18,$BA$18," "))))))))))," ")</f>
        <v xml:space="preserve">MA Qomarul Hidayah</v>
      </c>
      <c r="E82" s="219" t="str">
        <f>IFERROR((ENTRI!C82)," ")</f>
        <v>05</v>
      </c>
      <c r="F82" s="219">
        <f t="shared" si="49"/>
        <v>2</v>
      </c>
      <c r="G82" s="219" t="str">
        <f>IFERROR((ENTRI!E82)," ")</f>
        <v>Guru</v>
      </c>
      <c r="H82" s="219" t="str">
        <f>IFERROR((ENTRI!F82)," ")</f>
        <v>01</v>
      </c>
      <c r="I82" s="219" t="str">
        <f>IFERROR((ENTRI!G82)," ")</f>
        <v xml:space="preserve">Drs. WAGIMAN</v>
      </c>
      <c r="J82" s="219" t="str">
        <f>IFERROR((ENTRI!H82)," ")</f>
        <v xml:space="preserve">19581030  198407 05 01 01</v>
      </c>
      <c r="K82" s="219" t="str">
        <f>IFERROR((ENTRI!I82)," ")</f>
        <v>Trenggalek</v>
      </c>
      <c r="L82" s="219">
        <f>IFERROR((ENTRI!J82)," ")</f>
        <v>30</v>
      </c>
      <c r="M82" s="219">
        <f>IFERROR((ENTRI!K82)," ")</f>
        <v>10</v>
      </c>
      <c r="N82" s="219">
        <f>IFERROR((ENTRI!L82)," ")</f>
        <v>1958</v>
      </c>
      <c r="O82" s="219" t="str">
        <f t="shared" si="50"/>
        <v xml:space="preserve">Trenggalek, 30-10-1958</v>
      </c>
      <c r="P82" s="219">
        <f>IFERROR((ENTRI!N82)," ")</f>
        <v>19</v>
      </c>
      <c r="Q82" s="219" t="str">
        <f>IFERROR((ENTRI!O82)," ")</f>
        <v>07</v>
      </c>
      <c r="R82" s="219">
        <f>IFERROR((ENTRI!P82)," ")</f>
        <v>1984</v>
      </c>
      <c r="S82" s="219" t="str">
        <f t="shared" si="51"/>
        <v>19-07-1984</v>
      </c>
      <c r="T82" s="219">
        <f>IFERROR((ENTRI!Q82)," ")</f>
        <v>19</v>
      </c>
      <c r="U82" s="219" t="str">
        <f>IFERROR((ENTRI!R82)," ")</f>
        <v>07</v>
      </c>
      <c r="V82" s="219">
        <f>IFERROR((ENTRI!S82)," ")</f>
        <v>1984</v>
      </c>
      <c r="W82" s="219" t="str">
        <f t="shared" si="52"/>
        <v>19-07-1984</v>
      </c>
      <c r="X82" s="219">
        <f>IFERROR((ENTRI!T82)," ")</f>
        <v>41</v>
      </c>
      <c r="Y82" s="219">
        <f>IFERROR((ENTRI!U82)," ")</f>
        <v>41</v>
      </c>
      <c r="Z82" s="219">
        <f>IFERROR((ENTRI!V82)," ")</f>
        <v>41</v>
      </c>
      <c r="AA82" s="219">
        <f>IFERROR((ENTRI!W82)," ")</f>
        <v>41</v>
      </c>
      <c r="AB82" s="219" t="str">
        <f>IFERROR((ENTRI!X82)," ")</f>
        <v>S1</v>
      </c>
      <c r="AC82" s="219" t="str">
        <f>IFERROR((ENTRI!Y82)," ")</f>
        <v xml:space="preserve">PENDIDIKAN AGAMA ISLAM</v>
      </c>
      <c r="AD82" s="219">
        <f>IFERROR((ENTRI!Z82)," ")</f>
        <v>1991</v>
      </c>
      <c r="AE82" s="219" t="str">
        <f>IFERROR((ENTRI!AA82)," ")</f>
        <v>BELUM</v>
      </c>
      <c r="AF82" s="219">
        <f>IFERROR((ENTRI!AB82)," ")</f>
        <v>0</v>
      </c>
      <c r="AG82" s="219" t="str">
        <f>IFERROR((ENTRI!AC82)," ")</f>
        <v xml:space="preserve"> </v>
      </c>
      <c r="AH82" s="219">
        <f>IFERROR((ENTRI!AD82)," ")</f>
        <v>0</v>
      </c>
      <c r="AI82" s="219" t="str">
        <f>IFERROR((ENTRI!AE82)," ")</f>
        <v xml:space="preserve">QUR'AN HADITS</v>
      </c>
      <c r="AJ82" s="219">
        <f>IFERROR((ENTRI!AF82)," ")</f>
        <v>4</v>
      </c>
      <c r="AK82" s="219" t="str">
        <f>IFERROR((ENTRI!AG82)," ")</f>
        <v>-</v>
      </c>
      <c r="AL82" s="219" t="str">
        <f>IFERROR((ENTRI!AH82)," ")</f>
        <v>-</v>
      </c>
      <c r="AM82" s="219" t="str">
        <f>IFERROR((ENTRI!AI82)," ")</f>
        <v xml:space="preserve"> </v>
      </c>
      <c r="AN82" s="219" t="str">
        <f>IFERROR((ENTRI!AJ82)," ")</f>
        <v>SUDAH</v>
      </c>
      <c r="AO82" s="219">
        <f>IFERROR((ENTRI!AK82)," ")</f>
        <v>0</v>
      </c>
      <c r="AP82" s="219">
        <f>IFERROR((ENTRI!AL82)," ")</f>
        <v>0</v>
      </c>
      <c r="AQ82" s="219" t="str">
        <f>IFERROR((ENTRI!AM82)," ")</f>
        <v>1362736652200003</v>
      </c>
      <c r="AR82" s="216" t="str">
        <f>E82&amp;"."&amp;H82&amp;"."&amp;AW82&amp;"."&amp;ENTRI!$E$4</f>
        <v>05.01.075.2025</v>
      </c>
      <c r="AS82" t="str">
        <f>"YPP.QH/KP.01."&amp;E82&amp;"/"&amp;AW82&amp;"/"&amp;ENTRI!$E$4</f>
        <v>YPP.QH/KP.01.05/075/2025</v>
      </c>
      <c r="AW82" s="277" t="s">
        <v>970</v>
      </c>
    </row>
    <row r="83">
      <c r="A83">
        <f t="shared" si="47"/>
        <v>4</v>
      </c>
      <c r="B83" s="276">
        <f t="shared" si="48"/>
        <v>1982</v>
      </c>
      <c r="C83" s="277">
        <v>76</v>
      </c>
      <c r="D83" s="219" t="str">
        <f>IFERROR(IF(ENTRI!B83=$AZ$9,$BA$9,IF(ENTRI!B83=$AZ$10,$BA$10,IF(ENTRI!B83=$AZ$11,$BA$11,IF(ENTRI!B83=$AZ$12,$BA$12,IF(ENTRI!B83=$AZ$13,$BA$13,IF(ENTRI!B83=$AZ$14,$BA$14,IF(ENTRI!B83=$AZ$15,$BA$15,IF(ENTRI!B83=$AZ$16,$BA$16,IF(ENTRI!B83=$AZ$17,$BA$17,IF(ENTRI!B83=$AZ$18,$BA$18," "))))))))))," ")</f>
        <v xml:space="preserve">MA Qomarul Hidayah</v>
      </c>
      <c r="E83" s="219" t="str">
        <f>IFERROR((ENTRI!C83)," ")</f>
        <v>05</v>
      </c>
      <c r="F83" s="219">
        <f t="shared" si="49"/>
        <v>4</v>
      </c>
      <c r="G83" s="219" t="str">
        <f>IFERROR((ENTRI!E83)," ")</f>
        <v>Guru</v>
      </c>
      <c r="H83" s="219" t="str">
        <f>IFERROR((ENTRI!F83)," ")</f>
        <v>01</v>
      </c>
      <c r="I83" s="219" t="str">
        <f>IFERROR((ENTRI!G83)," ")</f>
        <v xml:space="preserve">MUJIONO, S. Pd</v>
      </c>
      <c r="J83" s="219" t="str">
        <f>IFERROR((ENTRI!H83)," ")</f>
        <v xml:space="preserve">19650416  198907 05 01 02</v>
      </c>
      <c r="K83" s="219" t="str">
        <f>IFERROR((ENTRI!I83)," ")</f>
        <v>Trenggalek</v>
      </c>
      <c r="L83" s="219">
        <f>IFERROR((ENTRI!J83)," ")</f>
        <v>16</v>
      </c>
      <c r="M83" s="219" t="str">
        <f>IFERROR((ENTRI!K83)," ")</f>
        <v>04</v>
      </c>
      <c r="N83" s="219">
        <f>IFERROR((ENTRI!L83)," ")</f>
        <v>1965</v>
      </c>
      <c r="O83" s="219" t="str">
        <f t="shared" si="50"/>
        <v xml:space="preserve">Trenggalek, 16-04-1965</v>
      </c>
      <c r="P83" s="219" t="str">
        <f>IFERROR((ENTRI!N83)," ")</f>
        <v>01</v>
      </c>
      <c r="Q83" s="219" t="str">
        <f>IFERROR((ENTRI!O83)," ")</f>
        <v>07</v>
      </c>
      <c r="R83" s="219">
        <f>IFERROR((ENTRI!P83)," ")</f>
        <v>1989</v>
      </c>
      <c r="S83" s="219" t="str">
        <f t="shared" si="51"/>
        <v>01-07-1989</v>
      </c>
      <c r="T83" s="219" t="str">
        <f>IFERROR((ENTRI!Q83)," ")</f>
        <v>01</v>
      </c>
      <c r="U83" s="219" t="str">
        <f>IFERROR((ENTRI!R83)," ")</f>
        <v>07</v>
      </c>
      <c r="V83" s="219">
        <f>IFERROR((ENTRI!S83)," ")</f>
        <v>1989</v>
      </c>
      <c r="W83" s="219" t="str">
        <f t="shared" si="52"/>
        <v>01-07-1989</v>
      </c>
      <c r="X83" s="219">
        <f>IFERROR((ENTRI!T83)," ")</f>
        <v>36</v>
      </c>
      <c r="Y83" s="219">
        <f>IFERROR((ENTRI!U83)," ")</f>
        <v>36</v>
      </c>
      <c r="Z83" s="219">
        <f>IFERROR((ENTRI!V83)," ")</f>
        <v>36</v>
      </c>
      <c r="AA83" s="219">
        <f>IFERROR((ENTRI!W83)," ")</f>
        <v>36</v>
      </c>
      <c r="AB83" s="219" t="str">
        <f>IFERROR((ENTRI!X83)," ")</f>
        <v>S1</v>
      </c>
      <c r="AC83" s="219" t="str">
        <f>IFERROR((ENTRI!Y83)," ")</f>
        <v xml:space="preserve">PENDIDIKAN BAHASA INDONESIA</v>
      </c>
      <c r="AD83" s="219">
        <f>IFERROR((ENTRI!Z83)," ")</f>
        <v>2001</v>
      </c>
      <c r="AE83" s="219" t="str">
        <f>IFERROR((ENTRI!AA83)," ")</f>
        <v>SUDAH</v>
      </c>
      <c r="AF83" s="219" t="str">
        <f>IFERROR((ENTRI!AB83)," ")</f>
        <v xml:space="preserve">GURU DEWASA</v>
      </c>
      <c r="AG83" s="219" t="str">
        <f>IFERROR((ENTRI!AC83)," ")</f>
        <v>PEMBINA</v>
      </c>
      <c r="AH83" s="219" t="str">
        <f>IFERROR((ENTRI!AD83)," ")</f>
        <v xml:space="preserve">IV A</v>
      </c>
      <c r="AI83" s="219" t="str">
        <f>IFERROR((ENTRI!AE83)," ")</f>
        <v xml:space="preserve">BAHASA INDONESIA</v>
      </c>
      <c r="AJ83" s="219">
        <f>IFERROR((ENTRI!AF83)," ")</f>
        <v>12</v>
      </c>
      <c r="AK83" s="219" t="str">
        <f>IFERROR((ENTRI!AG83)," ")</f>
        <v xml:space="preserve">Waka Humas</v>
      </c>
      <c r="AL83" s="219">
        <f>IFERROR((ENTRI!AH83)," ")</f>
        <v>12</v>
      </c>
      <c r="AM83" s="219">
        <f>IFERROR((ENTRI!AI83)," ")</f>
        <v>24</v>
      </c>
      <c r="AN83" s="219" t="str">
        <f>IFERROR((ENTRI!AJ83)," ")</f>
        <v>SUDAH</v>
      </c>
      <c r="AO83" s="219">
        <f>IFERROR((ENTRI!AK83)," ")</f>
        <v>2008</v>
      </c>
      <c r="AP83" s="219" t="str">
        <f>IFERROR((ENTRI!AL83)," ")</f>
        <v>000240017423</v>
      </c>
      <c r="AQ83" s="219" t="str">
        <f>IFERROR((ENTRI!AM83)," ")</f>
        <v>1748743645200002</v>
      </c>
      <c r="AR83" s="216" t="str">
        <f>E83&amp;"."&amp;H83&amp;"."&amp;AW83&amp;"."&amp;ENTRI!$E$4</f>
        <v>05.01.076.2025</v>
      </c>
      <c r="AS83" t="str">
        <f>"YPP.QH/KP.01."&amp;E83&amp;"/"&amp;AW83&amp;"/"&amp;ENTRI!$E$4</f>
        <v>YPP.QH/KP.01.05/076/2025</v>
      </c>
      <c r="AW83" s="277" t="s">
        <v>971</v>
      </c>
    </row>
    <row r="84">
      <c r="A84">
        <f t="shared" si="47"/>
        <v>7</v>
      </c>
      <c r="B84" s="276">
        <f t="shared" si="48"/>
        <v>1984</v>
      </c>
      <c r="C84" s="277">
        <v>77</v>
      </c>
      <c r="D84" s="219" t="str">
        <f>IFERROR(IF(ENTRI!B84=$AZ$9,$BA$9,IF(ENTRI!B84=$AZ$10,$BA$10,IF(ENTRI!B84=$AZ$11,$BA$11,IF(ENTRI!B84=$AZ$12,$BA$12,IF(ENTRI!B84=$AZ$13,$BA$13,IF(ENTRI!B84=$AZ$14,$BA$14,IF(ENTRI!B84=$AZ$15,$BA$15,IF(ENTRI!B84=$AZ$16,$BA$16,IF(ENTRI!B84=$AZ$17,$BA$17,IF(ENTRI!B84=$AZ$18,$BA$18," "))))))))))," ")</f>
        <v xml:space="preserve">MA Qomarul Hidayah</v>
      </c>
      <c r="E84" s="219" t="str">
        <f>IFERROR((ENTRI!C84)," ")</f>
        <v>05</v>
      </c>
      <c r="F84" s="219">
        <f t="shared" si="49"/>
        <v>7</v>
      </c>
      <c r="G84" s="219" t="str">
        <f>IFERROR((ENTRI!E84)," ")</f>
        <v>Guru</v>
      </c>
      <c r="H84" s="219" t="str">
        <f>IFERROR((ENTRI!F84)," ")</f>
        <v>01</v>
      </c>
      <c r="I84" s="219" t="str">
        <f>IFERROR((ENTRI!G84)," ")</f>
        <v xml:space="preserve">Drs. SUWITO</v>
      </c>
      <c r="J84" s="219" t="str">
        <f>IFERROR((ENTRI!H84)," ")</f>
        <v xml:space="preserve">19660127  199107 05 01 03</v>
      </c>
      <c r="K84" s="219" t="str">
        <f>IFERROR((ENTRI!I84)," ")</f>
        <v>Trenggalek</v>
      </c>
      <c r="L84" s="219">
        <f>IFERROR((ENTRI!J84)," ")</f>
        <v>27</v>
      </c>
      <c r="M84" s="219" t="str">
        <f>IFERROR((ENTRI!K84)," ")</f>
        <v>01</v>
      </c>
      <c r="N84" s="219">
        <f>IFERROR((ENTRI!L84)," ")</f>
        <v>1966</v>
      </c>
      <c r="O84" s="219" t="str">
        <f t="shared" si="50"/>
        <v xml:space="preserve">Trenggalek, 27-01-1966</v>
      </c>
      <c r="P84" s="219">
        <f>IFERROR((ENTRI!N84)," ")</f>
        <v>20</v>
      </c>
      <c r="Q84" s="219" t="str">
        <f>IFERROR((ENTRI!O84)," ")</f>
        <v>07</v>
      </c>
      <c r="R84" s="219">
        <f>IFERROR((ENTRI!P84)," ")</f>
        <v>1991</v>
      </c>
      <c r="S84" s="219" t="str">
        <f t="shared" si="51"/>
        <v>20-07-1991</v>
      </c>
      <c r="T84" s="219">
        <f>IFERROR((ENTRI!Q84)," ")</f>
        <v>20</v>
      </c>
      <c r="U84" s="219" t="str">
        <f>IFERROR((ENTRI!R84)," ")</f>
        <v>07</v>
      </c>
      <c r="V84" s="219">
        <f>IFERROR((ENTRI!S84)," ")</f>
        <v>1991</v>
      </c>
      <c r="W84" s="219" t="str">
        <f t="shared" si="52"/>
        <v>20-07-1991</v>
      </c>
      <c r="X84" s="219">
        <f>IFERROR((ENTRI!T84)," ")</f>
        <v>34</v>
      </c>
      <c r="Y84" s="219">
        <f>IFERROR((ENTRI!U84)," ")</f>
        <v>34</v>
      </c>
      <c r="Z84" s="219">
        <f>IFERROR((ENTRI!V84)," ")</f>
        <v>34</v>
      </c>
      <c r="AA84" s="219">
        <f>IFERROR((ENTRI!W84)," ")</f>
        <v>34</v>
      </c>
      <c r="AB84" s="219" t="str">
        <f>IFERROR((ENTRI!X84)," ")</f>
        <v>S1</v>
      </c>
      <c r="AC84" s="219" t="str">
        <f>IFERROR((ENTRI!Y84)," ")</f>
        <v xml:space="preserve">PENDIDIKAN EKONOMI</v>
      </c>
      <c r="AD84" s="219">
        <f>IFERROR((ENTRI!Z84)," ")</f>
        <v>1991</v>
      </c>
      <c r="AE84" s="219" t="str">
        <f>IFERROR((ENTRI!AA84)," ")</f>
        <v>SUDAH</v>
      </c>
      <c r="AF84" s="219" t="str">
        <f>IFERROR((ENTRI!AB84)," ")</f>
        <v xml:space="preserve">GURU DEWASA</v>
      </c>
      <c r="AG84" s="219" t="str">
        <f>IFERROR((ENTRI!AC84)," ")</f>
        <v>PEMBINA</v>
      </c>
      <c r="AH84" s="219" t="str">
        <f>IFERROR((ENTRI!AD84)," ")</f>
        <v xml:space="preserve">IV A</v>
      </c>
      <c r="AI84" s="219" t="str">
        <f>IFERROR((ENTRI!AE84)," ")</f>
        <v>EKONOMI</v>
      </c>
      <c r="AJ84" s="219">
        <f>IFERROR((ENTRI!AF84)," ")</f>
        <v>26</v>
      </c>
      <c r="AK84" s="219" t="str">
        <f>IFERROR((ENTRI!AG84)," ")</f>
        <v>-</v>
      </c>
      <c r="AL84" s="219" t="str">
        <f>IFERROR((ENTRI!AH84)," ")</f>
        <v>-</v>
      </c>
      <c r="AM84" s="219" t="str">
        <f>IFERROR((ENTRI!AI84)," ")</f>
        <v xml:space="preserve"> </v>
      </c>
      <c r="AN84" s="219" t="str">
        <f>IFERROR((ENTRI!AJ84)," ")</f>
        <v>SUDAH</v>
      </c>
      <c r="AO84" s="219">
        <f>IFERROR((ENTRI!AK84)," ")</f>
        <v>2008</v>
      </c>
      <c r="AP84" s="219" t="str">
        <f>IFERROR((ENTRI!AL84)," ")</f>
        <v>000230017429</v>
      </c>
      <c r="AQ84" s="219" t="str">
        <f>IFERROR((ENTRI!AM84)," ")</f>
        <v>6459744646200002</v>
      </c>
      <c r="AR84" s="216" t="str">
        <f>E84&amp;"."&amp;H84&amp;"."&amp;AW84&amp;"."&amp;ENTRI!$E$4</f>
        <v>05.01.077.2025</v>
      </c>
      <c r="AS84" t="str">
        <f>"YPP.QH/KP.01."&amp;E84&amp;"/"&amp;AW84&amp;"/"&amp;ENTRI!$E$4</f>
        <v>YPP.QH/KP.01.05/077/2025</v>
      </c>
      <c r="AW84" s="277" t="s">
        <v>972</v>
      </c>
    </row>
    <row r="85">
      <c r="A85">
        <f t="shared" si="47"/>
        <v>8</v>
      </c>
      <c r="B85" s="276">
        <f t="shared" si="48"/>
        <v>1986</v>
      </c>
      <c r="C85" s="277">
        <v>78</v>
      </c>
      <c r="D85" s="219" t="str">
        <f>IFERROR(IF(ENTRI!B85=$AZ$9,$BA$9,IF(ENTRI!B85=$AZ$10,$BA$10,IF(ENTRI!B85=$AZ$11,$BA$11,IF(ENTRI!B85=$AZ$12,$BA$12,IF(ENTRI!B85=$AZ$13,$BA$13,IF(ENTRI!B85=$AZ$14,$BA$14,IF(ENTRI!B85=$AZ$15,$BA$15,IF(ENTRI!B85=$AZ$16,$BA$16,IF(ENTRI!B85=$AZ$17,$BA$17,IF(ENTRI!B85=$AZ$18,$BA$18," "))))))))))," ")</f>
        <v xml:space="preserve">MA Qomarul Hidayah</v>
      </c>
      <c r="E85" s="219" t="str">
        <f>IFERROR((ENTRI!C85)," ")</f>
        <v>05</v>
      </c>
      <c r="F85" s="219">
        <f t="shared" si="49"/>
        <v>8</v>
      </c>
      <c r="G85" s="219" t="str">
        <f>IFERROR((ENTRI!E85)," ")</f>
        <v>Guru</v>
      </c>
      <c r="H85" s="219" t="str">
        <f>IFERROR((ENTRI!F85)," ")</f>
        <v>01</v>
      </c>
      <c r="I85" s="219" t="str">
        <f>IFERROR((ENTRI!G85)," ")</f>
        <v xml:space="preserve">MUSLIHUN, S. Ag</v>
      </c>
      <c r="J85" s="219" t="str">
        <f>IFERROR((ENTRI!H85)," ")</f>
        <v xml:space="preserve">19680403  199307 05 01 04</v>
      </c>
      <c r="K85" s="219" t="str">
        <f>IFERROR((ENTRI!I85)," ")</f>
        <v>WARINGINSARI</v>
      </c>
      <c r="L85" s="219" t="str">
        <f>IFERROR((ENTRI!J85)," ")</f>
        <v>03</v>
      </c>
      <c r="M85" s="219" t="str">
        <f>IFERROR((ENTRI!K85)," ")</f>
        <v>04</v>
      </c>
      <c r="N85" s="219">
        <f>IFERROR((ENTRI!L85)," ")</f>
        <v>1968</v>
      </c>
      <c r="O85" s="219" t="str">
        <f t="shared" si="50"/>
        <v xml:space="preserve">WARINGINSARI, 03-04-1968</v>
      </c>
      <c r="P85" s="219" t="str">
        <f>IFERROR((ENTRI!N85)," ")</f>
        <v>19</v>
      </c>
      <c r="Q85" s="219" t="str">
        <f>IFERROR((ENTRI!O85)," ")</f>
        <v>07</v>
      </c>
      <c r="R85" s="219">
        <f>IFERROR((ENTRI!P85)," ")</f>
        <v>1993</v>
      </c>
      <c r="S85" s="219" t="str">
        <f t="shared" si="51"/>
        <v>19-07-1993</v>
      </c>
      <c r="T85" s="219" t="str">
        <f>IFERROR((ENTRI!Q85)," ")</f>
        <v>19</v>
      </c>
      <c r="U85" s="219" t="str">
        <f>IFERROR((ENTRI!R85)," ")</f>
        <v>07</v>
      </c>
      <c r="V85" s="219">
        <f>IFERROR((ENTRI!S85)," ")</f>
        <v>1993</v>
      </c>
      <c r="W85" s="219" t="str">
        <f t="shared" si="52"/>
        <v>19-07-1993</v>
      </c>
      <c r="X85" s="219">
        <f>IFERROR((ENTRI!T85)," ")</f>
        <v>32</v>
      </c>
      <c r="Y85" s="219">
        <f>IFERROR((ENTRI!U85)," ")</f>
        <v>32</v>
      </c>
      <c r="Z85" s="219">
        <f>IFERROR((ENTRI!V85)," ")</f>
        <v>32</v>
      </c>
      <c r="AA85" s="219">
        <f>IFERROR((ENTRI!W85)," ")</f>
        <v>32</v>
      </c>
      <c r="AB85" s="219" t="str">
        <f>IFERROR((ENTRI!X85)," ")</f>
        <v>S1</v>
      </c>
      <c r="AC85" s="219" t="str">
        <f>IFERROR((ENTRI!Y85)," ")</f>
        <v xml:space="preserve">PENDIDIKAN AGAMA ISLAM</v>
      </c>
      <c r="AD85" s="219">
        <f>IFERROR((ENTRI!Z85)," ")</f>
        <v>1993</v>
      </c>
      <c r="AE85" s="219" t="str">
        <f>IFERROR((ENTRI!AA85)," ")</f>
        <v>SUDAH</v>
      </c>
      <c r="AF85" s="219" t="str">
        <f>IFERROR((ENTRI!AB85)," ")</f>
        <v xml:space="preserve">GURU DEWASA</v>
      </c>
      <c r="AG85" s="219" t="str">
        <f>IFERROR((ENTRI!AC85)," ")</f>
        <v>PEMBINA</v>
      </c>
      <c r="AH85" s="219" t="str">
        <f>IFERROR((ENTRI!AD85)," ")</f>
        <v xml:space="preserve">IV A</v>
      </c>
      <c r="AI85" s="219" t="str">
        <f>IFERROR((ENTRI!AE85)," ")</f>
        <v xml:space="preserve">AL-QUR'AN HADITS DAN FIQIH</v>
      </c>
      <c r="AJ85" s="219">
        <f>IFERROR((ENTRI!AF85)," ")</f>
        <v>20</v>
      </c>
      <c r="AK85" s="219" t="str">
        <f>IFERROR((ENTRI!AG85)," ")</f>
        <v xml:space="preserve">Waka Kurikulum</v>
      </c>
      <c r="AL85" s="219">
        <f>IFERROR((ENTRI!AH85)," ")</f>
        <v>12</v>
      </c>
      <c r="AM85" s="219">
        <f>IFERROR((ENTRI!AI85)," ")</f>
        <v>32</v>
      </c>
      <c r="AN85" s="219" t="str">
        <f>IFERROR((ENTRI!AJ85)," ")</f>
        <v>SUDAH</v>
      </c>
      <c r="AO85" s="219">
        <f>IFERROR((ENTRI!AK85)," ")</f>
        <v>2008</v>
      </c>
      <c r="AP85" s="219" t="str">
        <f>IFERROR((ENTRI!AL85)," ")</f>
        <v>000280007295</v>
      </c>
      <c r="AQ85" s="219" t="str">
        <f>IFERROR((ENTRI!AM85)," ")</f>
        <v>6735746649200072</v>
      </c>
      <c r="AR85" s="216" t="str">
        <f>E85&amp;"."&amp;H85&amp;"."&amp;AW85&amp;"."&amp;ENTRI!$E$4</f>
        <v>05.01.078.2025</v>
      </c>
      <c r="AS85" t="str">
        <f>"YPP.QH/KP.01."&amp;E85&amp;"/"&amp;AW85&amp;"/"&amp;ENTRI!$E$4</f>
        <v>YPP.QH/KP.01.05/078/2025</v>
      </c>
      <c r="AW85" s="277" t="s">
        <v>973</v>
      </c>
    </row>
    <row r="86">
      <c r="A86">
        <f t="shared" si="47"/>
        <v>27</v>
      </c>
      <c r="B86" s="276">
        <f t="shared" si="48"/>
        <v>1996</v>
      </c>
      <c r="C86" s="277">
        <v>79</v>
      </c>
      <c r="D86" s="219" t="str">
        <f>IFERROR(IF(ENTRI!B86=$AZ$9,$BA$9,IF(ENTRI!B86=$AZ$10,$BA$10,IF(ENTRI!B86=$AZ$11,$BA$11,IF(ENTRI!B86=$AZ$12,$BA$12,IF(ENTRI!B86=$AZ$13,$BA$13,IF(ENTRI!B86=$AZ$14,$BA$14,IF(ENTRI!B86=$AZ$15,$BA$15,IF(ENTRI!B86=$AZ$16,$BA$16,IF(ENTRI!B86=$AZ$17,$BA$17,IF(ENTRI!B86=$AZ$18,$BA$18," "))))))))))," ")</f>
        <v xml:space="preserve">MA Qomarul Hidayah</v>
      </c>
      <c r="E86" s="219" t="str">
        <f>IFERROR((ENTRI!C86)," ")</f>
        <v>05</v>
      </c>
      <c r="F86" s="219">
        <f t="shared" si="49"/>
        <v>27</v>
      </c>
      <c r="G86" s="219" t="str">
        <f>IFERROR((ENTRI!E86)," ")</f>
        <v>Guru</v>
      </c>
      <c r="H86" s="219" t="str">
        <f>IFERROR((ENTRI!F86)," ")</f>
        <v>01</v>
      </c>
      <c r="I86" s="219" t="str">
        <f>IFERROR((ENTRI!G86)," ")</f>
        <v xml:space="preserve">LAINEM, S. Ag</v>
      </c>
      <c r="J86" s="219" t="str">
        <f>IFERROR((ENTRI!H86)," ")</f>
        <v xml:space="preserve">19660322  200307 05 01 05</v>
      </c>
      <c r="K86" s="219" t="str">
        <f>IFERROR((ENTRI!I86)," ")</f>
        <v>Trenggalek</v>
      </c>
      <c r="L86" s="219">
        <f>IFERROR((ENTRI!J86)," ")</f>
        <v>22</v>
      </c>
      <c r="M86" s="219" t="str">
        <f>IFERROR((ENTRI!K86)," ")</f>
        <v>03</v>
      </c>
      <c r="N86" s="219">
        <f>IFERROR((ENTRI!L86)," ")</f>
        <v>1966</v>
      </c>
      <c r="O86" s="219" t="str">
        <f t="shared" si="50"/>
        <v xml:space="preserve">Trenggalek, 22-03-1966</v>
      </c>
      <c r="P86" s="219" t="str">
        <f>IFERROR((ENTRI!N86)," ")</f>
        <v>17</v>
      </c>
      <c r="Q86" s="219" t="str">
        <f>IFERROR((ENTRI!O86)," ")</f>
        <v>07</v>
      </c>
      <c r="R86" s="219">
        <f>IFERROR((ENTRI!P86)," ")</f>
        <v>2003</v>
      </c>
      <c r="S86" s="219" t="str">
        <f t="shared" si="51"/>
        <v>17-07-2003</v>
      </c>
      <c r="T86" s="219" t="str">
        <f>IFERROR((ENTRI!Q86)," ")</f>
        <v>17</v>
      </c>
      <c r="U86" s="219" t="str">
        <f>IFERROR((ENTRI!R86)," ")</f>
        <v>07</v>
      </c>
      <c r="V86" s="219">
        <f>IFERROR((ENTRI!S86)," ")</f>
        <v>2003</v>
      </c>
      <c r="W86" s="219" t="str">
        <f t="shared" si="52"/>
        <v>17-07-2003</v>
      </c>
      <c r="X86" s="219">
        <f>IFERROR((ENTRI!T86)," ")</f>
        <v>22</v>
      </c>
      <c r="Y86" s="219">
        <f>IFERROR((ENTRI!U86)," ")</f>
        <v>22</v>
      </c>
      <c r="Z86" s="219">
        <f>IFERROR((ENTRI!V86)," ")</f>
        <v>22</v>
      </c>
      <c r="AA86" s="219">
        <f>IFERROR((ENTRI!W86)," ")</f>
        <v>22</v>
      </c>
      <c r="AB86" s="219" t="str">
        <f>IFERROR((ENTRI!X86)," ")</f>
        <v>S1</v>
      </c>
      <c r="AC86" s="219" t="str">
        <f>IFERROR((ENTRI!Y86)," ")</f>
        <v xml:space="preserve">PENDIDIKAN AGAMA ISLAM</v>
      </c>
      <c r="AD86" s="219">
        <f>IFERROR((ENTRI!Z86)," ")</f>
        <v>1993</v>
      </c>
      <c r="AE86" s="219" t="str">
        <f>IFERROR((ENTRI!AA86)," ")</f>
        <v>SUDAH</v>
      </c>
      <c r="AF86" s="219" t="str">
        <f>IFERROR((ENTRI!AB86)," ")</f>
        <v xml:space="preserve">GURU MADYA</v>
      </c>
      <c r="AG86" s="219" t="str">
        <f>IFERROR((ENTRI!AC86)," ")</f>
        <v xml:space="preserve">PENATA TK. I</v>
      </c>
      <c r="AH86" s="219" t="str">
        <f>IFERROR((ENTRI!AD86)," ")</f>
        <v xml:space="preserve">III D</v>
      </c>
      <c r="AI86" s="219" t="str">
        <f>IFERROR((ENTRI!AE86)," ")</f>
        <v xml:space="preserve">AQIDAH AKHLAK, SKI, SEJARAH</v>
      </c>
      <c r="AJ86" s="219">
        <f>IFERROR((ENTRI!AF86)," ")</f>
        <v>20</v>
      </c>
      <c r="AK86" s="219" t="str">
        <f>IFERROR((ENTRI!AG86)," ")</f>
        <v xml:space="preserve">Kepala Perpustakaan </v>
      </c>
      <c r="AL86" s="219">
        <f>IFERROR((ENTRI!AH86)," ")</f>
        <v>12</v>
      </c>
      <c r="AM86" s="219">
        <f>IFERROR((ENTRI!AI86)," ")</f>
        <v>32</v>
      </c>
      <c r="AN86" s="219" t="str">
        <f>IFERROR((ENTRI!AJ86)," ")</f>
        <v>SUDAH</v>
      </c>
      <c r="AO86" s="219">
        <f>IFERROR((ENTRI!AK86)," ")</f>
        <v>2012</v>
      </c>
      <c r="AP86" s="219" t="str">
        <f>IFERROR((ENTRI!AL86)," ")</f>
        <v>122352135018</v>
      </c>
      <c r="AQ86" s="219" t="str">
        <f>IFERROR((ENTRI!AM86)," ")</f>
        <v>5654744646300002</v>
      </c>
      <c r="AR86" s="216" t="str">
        <f>E86&amp;"."&amp;H86&amp;"."&amp;AW86&amp;"."&amp;ENTRI!$E$4</f>
        <v>05.01.079.2025</v>
      </c>
      <c r="AS86" t="str">
        <f>"YPP.QH/KP.01."&amp;E86&amp;"/"&amp;AW86&amp;"/"&amp;ENTRI!$E$4</f>
        <v>YPP.QH/KP.01.05/079/2025</v>
      </c>
      <c r="AW86" s="277" t="s">
        <v>974</v>
      </c>
    </row>
    <row r="87">
      <c r="A87">
        <f t="shared" si="47"/>
        <v>27</v>
      </c>
      <c r="B87" s="276">
        <f t="shared" si="48"/>
        <v>1996</v>
      </c>
      <c r="C87" s="277">
        <v>80</v>
      </c>
      <c r="D87" s="219" t="str">
        <f>IFERROR(IF(ENTRI!B87=$AZ$9,$BA$9,IF(ENTRI!B87=$AZ$10,$BA$10,IF(ENTRI!B87=$AZ$11,$BA$11,IF(ENTRI!B87=$AZ$12,$BA$12,IF(ENTRI!B87=$AZ$13,$BA$13,IF(ENTRI!B87=$AZ$14,$BA$14,IF(ENTRI!B87=$AZ$15,$BA$15,IF(ENTRI!B87=$AZ$16,$BA$16,IF(ENTRI!B87=$AZ$17,$BA$17,IF(ENTRI!B87=$AZ$18,$BA$18," "))))))))))," ")</f>
        <v xml:space="preserve">MA Qomarul Hidayah</v>
      </c>
      <c r="E87" s="219" t="str">
        <f>IFERROR((ENTRI!C87)," ")</f>
        <v>05</v>
      </c>
      <c r="F87" s="219">
        <f t="shared" si="49"/>
        <v>27</v>
      </c>
      <c r="G87" s="219" t="str">
        <f>IFERROR((ENTRI!E87)," ")</f>
        <v>Guru</v>
      </c>
      <c r="H87" s="219" t="str">
        <f>IFERROR((ENTRI!F87)," ")</f>
        <v>01</v>
      </c>
      <c r="I87" s="219" t="str">
        <f>IFERROR((ENTRI!G87)," ")</f>
        <v xml:space="preserve">HADI MUHTAROM, A. Md</v>
      </c>
      <c r="J87" s="219" t="str">
        <f>IFERROR((ENTRI!H87)," ")</f>
        <v xml:space="preserve">19830915  200307 05 01 06</v>
      </c>
      <c r="K87" s="219" t="str">
        <f>IFERROR((ENTRI!I87)," ")</f>
        <v>Trenggalek</v>
      </c>
      <c r="L87" s="219" t="str">
        <f>IFERROR((ENTRI!J87)," ")</f>
        <v>15</v>
      </c>
      <c r="M87" s="219" t="str">
        <f>IFERROR((ENTRI!K87)," ")</f>
        <v>09</v>
      </c>
      <c r="N87" s="219">
        <f>IFERROR((ENTRI!L87)," ")</f>
        <v>1983</v>
      </c>
      <c r="O87" s="219" t="str">
        <f t="shared" si="50"/>
        <v xml:space="preserve">Trenggalek, 15-09-1983</v>
      </c>
      <c r="P87" s="219">
        <f>IFERROR((ENTRI!N87)," ")</f>
        <v>19</v>
      </c>
      <c r="Q87" s="219" t="str">
        <f>IFERROR((ENTRI!O87)," ")</f>
        <v>07</v>
      </c>
      <c r="R87" s="219">
        <f>IFERROR((ENTRI!P87)," ")</f>
        <v>2003</v>
      </c>
      <c r="S87" s="219" t="str">
        <f t="shared" si="51"/>
        <v>19-07-2003</v>
      </c>
      <c r="T87" s="219">
        <f>IFERROR((ENTRI!Q87)," ")</f>
        <v>19</v>
      </c>
      <c r="U87" s="219" t="str">
        <f>IFERROR((ENTRI!R87)," ")</f>
        <v>07</v>
      </c>
      <c r="V87" s="219">
        <f>IFERROR((ENTRI!S87)," ")</f>
        <v>2003</v>
      </c>
      <c r="W87" s="219" t="str">
        <f t="shared" si="52"/>
        <v>19-07-2003</v>
      </c>
      <c r="X87" s="219">
        <f>IFERROR((ENTRI!T87)," ")</f>
        <v>22</v>
      </c>
      <c r="Y87" s="219">
        <f>IFERROR((ENTRI!U87)," ")</f>
        <v>22</v>
      </c>
      <c r="Z87" s="219">
        <f>IFERROR((ENTRI!V87)," ")</f>
        <v>22</v>
      </c>
      <c r="AA87" s="219">
        <f>IFERROR((ENTRI!W87)," ")</f>
        <v>22</v>
      </c>
      <c r="AB87" s="219" t="str">
        <f>IFERROR((ENTRI!X87)," ")</f>
        <v xml:space="preserve">D III</v>
      </c>
      <c r="AC87" s="219" t="str">
        <f>IFERROR((ENTRI!Y87)," ")</f>
        <v xml:space="preserve">TEKNIK ELEKTRONIKA</v>
      </c>
      <c r="AD87" s="219">
        <f>IFERROR((ENTRI!Z87)," ")</f>
        <v>2010</v>
      </c>
      <c r="AE87" s="219" t="str">
        <f>IFERROR((ENTRI!AA87)," ")</f>
        <v>BELUM</v>
      </c>
      <c r="AF87" s="219">
        <f>IFERROR((ENTRI!AB87)," ")</f>
        <v>0</v>
      </c>
      <c r="AG87" s="219" t="str">
        <f>IFERROR((ENTRI!AC87)," ")</f>
        <v xml:space="preserve"> </v>
      </c>
      <c r="AH87" s="219">
        <f>IFERROR((ENTRI!AD87)," ")</f>
        <v>0</v>
      </c>
      <c r="AI87" s="219" t="str">
        <f>IFERROR((ENTRI!AE87)," ")</f>
        <v xml:space="preserve">TEKNOLOGI INFORMASI DAN KOMUNIKASI</v>
      </c>
      <c r="AJ87" s="219">
        <f>IFERROR((ENTRI!AF87)," ")</f>
        <v>24</v>
      </c>
      <c r="AK87" s="219" t="str">
        <f>IFERROR((ENTRI!AG87)," ")</f>
        <v xml:space="preserve">Kepala Lab. Komputer</v>
      </c>
      <c r="AL87" s="219">
        <f>IFERROR((ENTRI!AH87)," ")</f>
        <v>12</v>
      </c>
      <c r="AM87" s="219">
        <f>IFERROR((ENTRI!AI87)," ")</f>
        <v>36</v>
      </c>
      <c r="AN87" s="219" t="str">
        <f>IFERROR((ENTRI!AJ87)," ")</f>
        <v>BELUM</v>
      </c>
      <c r="AO87" s="219">
        <f>IFERROR((ENTRI!AK87)," ")</f>
        <v>0</v>
      </c>
      <c r="AP87" s="219">
        <f>IFERROR((ENTRI!AL87)," ")</f>
        <v>0</v>
      </c>
      <c r="AQ87" s="219" t="str">
        <f>IFERROR((ENTRI!AM87)," ")</f>
        <v>9247761663200003</v>
      </c>
      <c r="AR87" s="216" t="str">
        <f>E87&amp;"."&amp;H87&amp;"."&amp;AW87&amp;"."&amp;ENTRI!$E$4</f>
        <v>05.01.080.2025</v>
      </c>
      <c r="AS87" t="str">
        <f>"YPP.QH/KP.01."&amp;E87&amp;"/"&amp;AW87&amp;"/"&amp;ENTRI!$E$4</f>
        <v>YPP.QH/KP.01.05/080/2025</v>
      </c>
      <c r="AW87" s="277" t="s">
        <v>975</v>
      </c>
    </row>
    <row r="88">
      <c r="A88">
        <f t="shared" si="47"/>
        <v>33</v>
      </c>
      <c r="B88" s="276">
        <f t="shared" si="48"/>
        <v>1997</v>
      </c>
      <c r="C88" s="277">
        <v>81</v>
      </c>
      <c r="D88" s="219" t="str">
        <f>IFERROR(IF(ENTRI!B88=$AZ$9,$BA$9,IF(ENTRI!B88=$AZ$10,$BA$10,IF(ENTRI!B88=$AZ$11,$BA$11,IF(ENTRI!B88=$AZ$12,$BA$12,IF(ENTRI!B88=$AZ$13,$BA$13,IF(ENTRI!B88=$AZ$14,$BA$14,IF(ENTRI!B88=$AZ$15,$BA$15,IF(ENTRI!B88=$AZ$16,$BA$16,IF(ENTRI!B88=$AZ$17,$BA$17,IF(ENTRI!B88=$AZ$18,$BA$18," "))))))))))," ")</f>
        <v xml:space="preserve">MA Qomarul Hidayah</v>
      </c>
      <c r="E88" s="219" t="str">
        <f>IFERROR((ENTRI!C88)," ")</f>
        <v>05</v>
      </c>
      <c r="F88" s="219">
        <f t="shared" si="49"/>
        <v>33</v>
      </c>
      <c r="G88" s="219" t="str">
        <f>IFERROR((ENTRI!E88)," ")</f>
        <v xml:space="preserve">Kepala Sekolah</v>
      </c>
      <c r="H88" s="219" t="str">
        <f>IFERROR((ENTRI!F88)," ")</f>
        <v xml:space="preserve"> </v>
      </c>
      <c r="I88" s="219" t="str">
        <f>IFERROR((ENTRI!G88)," ")</f>
        <v xml:space="preserve">KH. AHMAD BAJURI</v>
      </c>
      <c r="J88" s="219" t="str">
        <f>IFERROR((ENTRI!H88)," ")</f>
        <v xml:space="preserve">19560410  200407 05   07</v>
      </c>
      <c r="K88" s="219" t="str">
        <f>IFERROR((ENTRI!I88)," ")</f>
        <v>BANYUWANGI</v>
      </c>
      <c r="L88" s="219">
        <f>IFERROR((ENTRI!J88)," ")</f>
        <v>10</v>
      </c>
      <c r="M88" s="219" t="str">
        <f>IFERROR((ENTRI!K88)," ")</f>
        <v>04</v>
      </c>
      <c r="N88" s="219">
        <f>IFERROR((ENTRI!L88)," ")</f>
        <v>1956</v>
      </c>
      <c r="O88" s="219" t="str">
        <f t="shared" si="50"/>
        <v xml:space="preserve">BANYUWANGI, 10-04-1956</v>
      </c>
      <c r="P88" s="219">
        <f>IFERROR((ENTRI!N88)," ")</f>
        <v>17</v>
      </c>
      <c r="Q88" s="219" t="str">
        <f>IFERROR((ENTRI!O88)," ")</f>
        <v>07</v>
      </c>
      <c r="R88" s="219">
        <f>IFERROR((ENTRI!P88)," ")</f>
        <v>2004</v>
      </c>
      <c r="S88" s="219" t="str">
        <f t="shared" si="51"/>
        <v>17-07-2004</v>
      </c>
      <c r="T88" s="219">
        <f>IFERROR((ENTRI!Q88)," ")</f>
        <v>17</v>
      </c>
      <c r="U88" s="219" t="str">
        <f>IFERROR((ENTRI!R88)," ")</f>
        <v>07</v>
      </c>
      <c r="V88" s="219">
        <f>IFERROR((ENTRI!S88)," ")</f>
        <v>2004</v>
      </c>
      <c r="W88" s="219" t="str">
        <f t="shared" si="52"/>
        <v>17-07-2004</v>
      </c>
      <c r="X88" s="219">
        <f>IFERROR((ENTRI!T88)," ")</f>
        <v>21</v>
      </c>
      <c r="Y88" s="219">
        <f>IFERROR((ENTRI!U88)," ")</f>
        <v>21</v>
      </c>
      <c r="Z88" s="219">
        <f>IFERROR((ENTRI!V88)," ")</f>
        <v>21</v>
      </c>
      <c r="AA88" s="219">
        <f>IFERROR((ENTRI!W88)," ")</f>
        <v>21</v>
      </c>
      <c r="AB88" s="219" t="str">
        <f>IFERROR((ENTRI!X88)," ")</f>
        <v>SLTA</v>
      </c>
      <c r="AC88" s="219" t="str">
        <f>IFERROR((ENTRI!Y88)," ")</f>
        <v>IPS</v>
      </c>
      <c r="AD88" s="219">
        <f>IFERROR((ENTRI!Z88)," ")</f>
        <v>1989</v>
      </c>
      <c r="AE88" s="219" t="str">
        <f>IFERROR((ENTRI!AA88)," ")</f>
        <v>BELUM</v>
      </c>
      <c r="AF88" s="219">
        <f>IFERROR((ENTRI!AB88)," ")</f>
        <v>0</v>
      </c>
      <c r="AG88" s="219" t="str">
        <f>IFERROR((ENTRI!AC88)," ")</f>
        <v xml:space="preserve"> </v>
      </c>
      <c r="AH88" s="219">
        <f>IFERROR((ENTRI!AD88)," ")</f>
        <v>0</v>
      </c>
      <c r="AI88" s="219" t="str">
        <f>IFERROR((ENTRI!AE88)," ")</f>
        <v>BP/BK</v>
      </c>
      <c r="AJ88" s="219">
        <f>IFERROR((ENTRI!AF88)," ")</f>
        <v>24</v>
      </c>
      <c r="AK88" s="219" t="str">
        <f>IFERROR((ENTRI!AG88)," ")</f>
        <v xml:space="preserve">Kepala Madrasah</v>
      </c>
      <c r="AL88" s="219">
        <f>IFERROR((ENTRI!AH88)," ")</f>
        <v>18</v>
      </c>
      <c r="AM88" s="219">
        <f>IFERROR((ENTRI!AI88)," ")</f>
        <v>42</v>
      </c>
      <c r="AN88" s="219" t="str">
        <f>IFERROR((ENTRI!AJ88)," ")</f>
        <v>BELUM</v>
      </c>
      <c r="AO88" s="219">
        <f>IFERROR((ENTRI!AK88)," ")</f>
        <v>0</v>
      </c>
      <c r="AP88" s="219">
        <f>IFERROR((ENTRI!AL88)," ")</f>
        <v>0</v>
      </c>
      <c r="AQ88" s="219" t="str">
        <f>IFERROR((ENTRI!AM88)," ")</f>
        <v>1742734647200002</v>
      </c>
      <c r="AR88" s="216" t="str">
        <f>E88&amp;"."&amp;H88&amp;"."&amp;AW88&amp;"."&amp;ENTRI!$E$4</f>
        <v xml:space="preserve">05. .081.2025</v>
      </c>
      <c r="AS88" t="str">
        <f>"YPP.QH/KP.01."&amp;E88&amp;"/"&amp;AW88&amp;"/"&amp;ENTRI!$E$4</f>
        <v>YPP.QH/KP.01.05/081/2025</v>
      </c>
      <c r="AW88" s="277" t="s">
        <v>976</v>
      </c>
    </row>
    <row r="89">
      <c r="A89">
        <f t="shared" si="47"/>
        <v>33</v>
      </c>
      <c r="B89" s="276">
        <f t="shared" si="48"/>
        <v>1997</v>
      </c>
      <c r="C89" s="277">
        <v>82</v>
      </c>
      <c r="D89" s="219" t="str">
        <f>IFERROR(IF(ENTRI!B89=$AZ$9,$BA$9,IF(ENTRI!B89=$AZ$10,$BA$10,IF(ENTRI!B89=$AZ$11,$BA$11,IF(ENTRI!B89=$AZ$12,$BA$12,IF(ENTRI!B89=$AZ$13,$BA$13,IF(ENTRI!B89=$AZ$14,$BA$14,IF(ENTRI!B89=$AZ$15,$BA$15,IF(ENTRI!B89=$AZ$16,$BA$16,IF(ENTRI!B89=$AZ$17,$BA$17,IF(ENTRI!B89=$AZ$18,$BA$18," "))))))))))," ")</f>
        <v xml:space="preserve">MA Qomarul Hidayah</v>
      </c>
      <c r="E89" s="219" t="str">
        <f>IFERROR((ENTRI!C89)," ")</f>
        <v>05</v>
      </c>
      <c r="F89" s="219">
        <f t="shared" si="49"/>
        <v>33</v>
      </c>
      <c r="G89" s="219" t="str">
        <f>IFERROR((ENTRI!E89)," ")</f>
        <v>Guru</v>
      </c>
      <c r="H89" s="219" t="str">
        <f>IFERROR((ENTRI!F89)," ")</f>
        <v>01</v>
      </c>
      <c r="I89" s="219" t="str">
        <f>IFERROR((ENTRI!G89)," ")</f>
        <v xml:space="preserve">SETYO WAHYUNI, S. Pd</v>
      </c>
      <c r="J89" s="219" t="str">
        <f>IFERROR((ENTRI!H89)," ")</f>
        <v xml:space="preserve">19801021  200407 05 01 08</v>
      </c>
      <c r="K89" s="219" t="str">
        <f>IFERROR((ENTRI!I89)," ")</f>
        <v>Trenggalek</v>
      </c>
      <c r="L89" s="219">
        <f>IFERROR((ENTRI!J89)," ")</f>
        <v>21</v>
      </c>
      <c r="M89" s="219">
        <f>IFERROR((ENTRI!K89)," ")</f>
        <v>10</v>
      </c>
      <c r="N89" s="219">
        <f>IFERROR((ENTRI!L89)," ")</f>
        <v>1980</v>
      </c>
      <c r="O89" s="219" t="str">
        <f t="shared" si="50"/>
        <v xml:space="preserve">Trenggalek, 21-10-1980</v>
      </c>
      <c r="P89" s="219">
        <f>IFERROR((ENTRI!N89)," ")</f>
        <v>17</v>
      </c>
      <c r="Q89" s="219" t="str">
        <f>IFERROR((ENTRI!O89)," ")</f>
        <v>07</v>
      </c>
      <c r="R89" s="219">
        <f>IFERROR((ENTRI!P89)," ")</f>
        <v>2004</v>
      </c>
      <c r="S89" s="219" t="str">
        <f t="shared" si="51"/>
        <v>17-07-2004</v>
      </c>
      <c r="T89" s="219">
        <f>IFERROR((ENTRI!Q89)," ")</f>
        <v>17</v>
      </c>
      <c r="U89" s="219" t="str">
        <f>IFERROR((ENTRI!R89)," ")</f>
        <v>07</v>
      </c>
      <c r="V89" s="219">
        <f>IFERROR((ENTRI!S89)," ")</f>
        <v>2004</v>
      </c>
      <c r="W89" s="219" t="str">
        <f t="shared" si="52"/>
        <v>17-07-2004</v>
      </c>
      <c r="X89" s="219">
        <f>IFERROR((ENTRI!T89)," ")</f>
        <v>21</v>
      </c>
      <c r="Y89" s="219">
        <f>IFERROR((ENTRI!U89)," ")</f>
        <v>21</v>
      </c>
      <c r="Z89" s="219">
        <f>IFERROR((ENTRI!V89)," ")</f>
        <v>21</v>
      </c>
      <c r="AA89" s="219">
        <f>IFERROR((ENTRI!W89)," ")</f>
        <v>21</v>
      </c>
      <c r="AB89" s="219" t="str">
        <f>IFERROR((ENTRI!X89)," ")</f>
        <v>S1</v>
      </c>
      <c r="AC89" s="219" t="str">
        <f>IFERROR((ENTRI!Y89)," ")</f>
        <v xml:space="preserve">PENDIDIKAN GEOGRAFI</v>
      </c>
      <c r="AD89" s="219">
        <f>IFERROR((ENTRI!Z89)," ")</f>
        <v>2004</v>
      </c>
      <c r="AE89" s="219" t="str">
        <f>IFERROR((ENTRI!AA89)," ")</f>
        <v>SUDAH</v>
      </c>
      <c r="AF89" s="219" t="str">
        <f>IFERROR((ENTRI!AB89)," ")</f>
        <v xml:space="preserve">GURU MADYA</v>
      </c>
      <c r="AG89" s="219" t="str">
        <f>IFERROR((ENTRI!AC89)," ")</f>
        <v xml:space="preserve">PENATA MUDA TK. I</v>
      </c>
      <c r="AH89" s="219" t="str">
        <f>IFERROR((ENTRI!AD89)," ")</f>
        <v xml:space="preserve">III B</v>
      </c>
      <c r="AI89" s="219" t="str">
        <f>IFERROR((ENTRI!AE89)," ")</f>
        <v xml:space="preserve">GEOGRAFI DAN SOSIOLOGI</v>
      </c>
      <c r="AJ89" s="219">
        <f>IFERROR((ENTRI!AF89)," ")</f>
        <v>22</v>
      </c>
      <c r="AK89" s="219" t="str">
        <f>IFERROR((ENTRI!AG89)," ")</f>
        <v>-</v>
      </c>
      <c r="AL89" s="219" t="str">
        <f>IFERROR((ENTRI!AH89)," ")</f>
        <v>-</v>
      </c>
      <c r="AM89" s="219" t="str">
        <f>IFERROR((ENTRI!AI89)," ")</f>
        <v xml:space="preserve"> </v>
      </c>
      <c r="AN89" s="219" t="str">
        <f>IFERROR((ENTRI!AJ89)," ")</f>
        <v>SUDAH</v>
      </c>
      <c r="AO89" s="219">
        <f>IFERROR((ENTRI!AK89)," ")</f>
        <v>2010</v>
      </c>
      <c r="AP89" s="219" t="str">
        <f>IFERROR((ENTRI!AL89)," ")</f>
        <v>022289967002</v>
      </c>
      <c r="AQ89" s="219" t="str">
        <f>IFERROR((ENTRI!AM89)," ")</f>
        <v>5353758660300013</v>
      </c>
      <c r="AR89" s="216" t="str">
        <f>E89&amp;"."&amp;H89&amp;"."&amp;AW89&amp;"."&amp;ENTRI!$E$4</f>
        <v>05.01.082.2025</v>
      </c>
      <c r="AS89" t="str">
        <f>"YPP.QH/KP.01."&amp;E89&amp;"/"&amp;AW89&amp;"/"&amp;ENTRI!$E$4</f>
        <v>YPP.QH/KP.01.05/082/2025</v>
      </c>
      <c r="AW89" s="277" t="s">
        <v>977</v>
      </c>
    </row>
    <row r="90">
      <c r="A90">
        <f t="shared" si="47"/>
        <v>39</v>
      </c>
      <c r="B90" s="276">
        <f t="shared" si="48"/>
        <v>1998</v>
      </c>
      <c r="C90" s="277">
        <v>83</v>
      </c>
      <c r="D90" s="219" t="str">
        <f>IFERROR(IF(ENTRI!B90=$AZ$9,$BA$9,IF(ENTRI!B90=$AZ$10,$BA$10,IF(ENTRI!B90=$AZ$11,$BA$11,IF(ENTRI!B90=$AZ$12,$BA$12,IF(ENTRI!B90=$AZ$13,$BA$13,IF(ENTRI!B90=$AZ$14,$BA$14,IF(ENTRI!B90=$AZ$15,$BA$15,IF(ENTRI!B90=$AZ$16,$BA$16,IF(ENTRI!B90=$AZ$17,$BA$17,IF(ENTRI!B90=$AZ$18,$BA$18," "))))))))))," ")</f>
        <v xml:space="preserve">MA Qomarul Hidayah</v>
      </c>
      <c r="E90" s="219" t="str">
        <f>IFERROR((ENTRI!C90)," ")</f>
        <v>05</v>
      </c>
      <c r="F90" s="219">
        <f t="shared" si="49"/>
        <v>39</v>
      </c>
      <c r="G90" s="219" t="str">
        <f>IFERROR((ENTRI!E90)," ")</f>
        <v>Guru</v>
      </c>
      <c r="H90" s="219" t="str">
        <f>IFERROR((ENTRI!F90)," ")</f>
        <v>01</v>
      </c>
      <c r="I90" s="219" t="str">
        <f>IFERROR((ENTRI!G90)," ")</f>
        <v xml:space="preserve">JUMROTUL ULIYAH, S. Pd I</v>
      </c>
      <c r="J90" s="219" t="str">
        <f>IFERROR((ENTRI!H90)," ")</f>
        <v xml:space="preserve">19820928  200507 05 01 09</v>
      </c>
      <c r="K90" s="219" t="str">
        <f>IFERROR((ENTRI!I90)," ")</f>
        <v>Trenggalek</v>
      </c>
      <c r="L90" s="219">
        <f>IFERROR((ENTRI!J90)," ")</f>
        <v>28</v>
      </c>
      <c r="M90" s="219" t="str">
        <f>IFERROR((ENTRI!K90)," ")</f>
        <v>09</v>
      </c>
      <c r="N90" s="219">
        <f>IFERROR((ENTRI!L90)," ")</f>
        <v>1982</v>
      </c>
      <c r="O90" s="219" t="str">
        <f t="shared" si="50"/>
        <v xml:space="preserve">Trenggalek, 28-09-1982</v>
      </c>
      <c r="P90" s="219">
        <f>IFERROR((ENTRI!N90)," ")</f>
        <v>18</v>
      </c>
      <c r="Q90" s="219" t="str">
        <f>IFERROR((ENTRI!O90)," ")</f>
        <v>07</v>
      </c>
      <c r="R90" s="219">
        <f>IFERROR((ENTRI!P90)," ")</f>
        <v>2005</v>
      </c>
      <c r="S90" s="219" t="str">
        <f t="shared" si="51"/>
        <v>18-07-2005</v>
      </c>
      <c r="T90" s="219">
        <f>IFERROR((ENTRI!Q90)," ")</f>
        <v>18</v>
      </c>
      <c r="U90" s="219" t="str">
        <f>IFERROR((ENTRI!R90)," ")</f>
        <v>07</v>
      </c>
      <c r="V90" s="219">
        <f>IFERROR((ENTRI!S90)," ")</f>
        <v>2005</v>
      </c>
      <c r="W90" s="219" t="str">
        <f t="shared" si="52"/>
        <v>18-07-2005</v>
      </c>
      <c r="X90" s="219">
        <f>IFERROR((ENTRI!T90)," ")</f>
        <v>20</v>
      </c>
      <c r="Y90" s="219">
        <f>IFERROR((ENTRI!U90)," ")</f>
        <v>20</v>
      </c>
      <c r="Z90" s="219">
        <f>IFERROR((ENTRI!V90)," ")</f>
        <v>20</v>
      </c>
      <c r="AA90" s="219">
        <f>IFERROR((ENTRI!W90)," ")</f>
        <v>20</v>
      </c>
      <c r="AB90" s="219" t="str">
        <f>IFERROR((ENTRI!X90)," ")</f>
        <v>S1</v>
      </c>
      <c r="AC90" s="219" t="str">
        <f>IFERROR((ENTRI!Y90)," ")</f>
        <v xml:space="preserve">PENDIDIKAN BAHASA ARAB</v>
      </c>
      <c r="AD90" s="219">
        <f>IFERROR((ENTRI!Z90)," ")</f>
        <v>2005</v>
      </c>
      <c r="AE90" s="219" t="str">
        <f>IFERROR((ENTRI!AA90)," ")</f>
        <v>SUDAH</v>
      </c>
      <c r="AF90" s="219">
        <f>IFERROR((ENTRI!AB90)," ")</f>
        <v>0</v>
      </c>
      <c r="AG90" s="219" t="str">
        <f>IFERROR((ENTRI!AC90)," ")</f>
        <v xml:space="preserve"> </v>
      </c>
      <c r="AH90" s="219">
        <f>IFERROR((ENTRI!AD90)," ")</f>
        <v>0</v>
      </c>
      <c r="AI90" s="219" t="str">
        <f>IFERROR((ENTRI!AE90)," ")</f>
        <v xml:space="preserve">BAHASA ARAB, MUHADATSAH</v>
      </c>
      <c r="AJ90" s="219">
        <f>IFERROR((ENTRI!AF90)," ")</f>
        <v>28</v>
      </c>
      <c r="AK90" s="219" t="str">
        <f>IFERROR((ENTRI!AG90)," ")</f>
        <v>-</v>
      </c>
      <c r="AL90" s="219" t="str">
        <f>IFERROR((ENTRI!AH90)," ")</f>
        <v>-</v>
      </c>
      <c r="AM90" s="219" t="str">
        <f>IFERROR((ENTRI!AI90)," ")</f>
        <v xml:space="preserve"> </v>
      </c>
      <c r="AN90" s="219" t="str">
        <f>IFERROR((ENTRI!AJ90)," ")</f>
        <v>SUDAH</v>
      </c>
      <c r="AO90" s="219">
        <f>IFERROR((ENTRI!AK90)," ")</f>
        <v>2013</v>
      </c>
      <c r="AP90" s="219" t="str">
        <f>IFERROR((ENTRI!AL90)," ")</f>
        <v>132392161032</v>
      </c>
      <c r="AQ90" s="219" t="str">
        <f>IFERROR((ENTRI!AM90)," ")</f>
        <v>4260760662300013</v>
      </c>
      <c r="AR90" s="216" t="str">
        <f>E90&amp;"."&amp;H90&amp;"."&amp;AW90&amp;"."&amp;ENTRI!$E$4</f>
        <v>05.01.083.2025</v>
      </c>
      <c r="AS90" t="str">
        <f>"YPP.QH/KP.01."&amp;E90&amp;"/"&amp;AW90&amp;"/"&amp;ENTRI!$E$4</f>
        <v>YPP.QH/KP.01.05/083/2025</v>
      </c>
      <c r="AW90" s="277" t="s">
        <v>978</v>
      </c>
    </row>
    <row r="91">
      <c r="A91">
        <f t="shared" si="47"/>
        <v>53</v>
      </c>
      <c r="B91" s="276">
        <f t="shared" si="48"/>
        <v>2000</v>
      </c>
      <c r="C91" s="277">
        <v>84</v>
      </c>
      <c r="D91" s="219" t="str">
        <f>IFERROR(IF(ENTRI!B91=$AZ$9,$BA$9,IF(ENTRI!B91=$AZ$10,$BA$10,IF(ENTRI!B91=$AZ$11,$BA$11,IF(ENTRI!B91=$AZ$12,$BA$12,IF(ENTRI!B91=$AZ$13,$BA$13,IF(ENTRI!B91=$AZ$14,$BA$14,IF(ENTRI!B91=$AZ$15,$BA$15,IF(ENTRI!B91=$AZ$16,$BA$16,IF(ENTRI!B91=$AZ$17,$BA$17,IF(ENTRI!B91=$AZ$18,$BA$18," "))))))))))," ")</f>
        <v xml:space="preserve">MA Qomarul Hidayah</v>
      </c>
      <c r="E91" s="219" t="str">
        <f>IFERROR((ENTRI!C91)," ")</f>
        <v>05</v>
      </c>
      <c r="F91" s="219">
        <f t="shared" si="49"/>
        <v>53</v>
      </c>
      <c r="G91" s="219" t="str">
        <f>IFERROR((ENTRI!E91)," ")</f>
        <v>Guru</v>
      </c>
      <c r="H91" s="219" t="str">
        <f>IFERROR((ENTRI!F91)," ")</f>
        <v>01</v>
      </c>
      <c r="I91" s="219" t="str">
        <f>IFERROR((ENTRI!G91)," ")</f>
        <v xml:space="preserve">PENNY WIDJAJANTI, SP</v>
      </c>
      <c r="J91" s="219" t="str">
        <f>IFERROR((ENTRI!H91)," ")</f>
        <v xml:space="preserve">19790502  200707 05 01 10</v>
      </c>
      <c r="K91" s="219" t="str">
        <f>IFERROR((ENTRI!I91)," ")</f>
        <v>SURABAYA</v>
      </c>
      <c r="L91" s="219" t="str">
        <f>IFERROR((ENTRI!J91)," ")</f>
        <v>02</v>
      </c>
      <c r="M91" s="219" t="str">
        <f>IFERROR((ENTRI!K91)," ")</f>
        <v>05</v>
      </c>
      <c r="N91" s="219">
        <f>IFERROR((ENTRI!L91)," ")</f>
        <v>1979</v>
      </c>
      <c r="O91" s="219" t="str">
        <f t="shared" si="50"/>
        <v xml:space="preserve">SURABAYA, 02-05-1979</v>
      </c>
      <c r="P91" s="219">
        <f>IFERROR((ENTRI!N91)," ")</f>
        <v>13</v>
      </c>
      <c r="Q91" s="219" t="str">
        <f>IFERROR((ENTRI!O91)," ")</f>
        <v>07</v>
      </c>
      <c r="R91" s="219">
        <f>IFERROR((ENTRI!P91)," ")</f>
        <v>2007</v>
      </c>
      <c r="S91" s="219" t="str">
        <f t="shared" si="51"/>
        <v>13-07-2007</v>
      </c>
      <c r="T91" s="219">
        <f>IFERROR((ENTRI!Q91)," ")</f>
        <v>13</v>
      </c>
      <c r="U91" s="219" t="str">
        <f>IFERROR((ENTRI!R91)," ")</f>
        <v>07</v>
      </c>
      <c r="V91" s="219">
        <f>IFERROR((ENTRI!S91)," ")</f>
        <v>2007</v>
      </c>
      <c r="W91" s="219" t="str">
        <f t="shared" si="52"/>
        <v>13-07-2007</v>
      </c>
      <c r="X91" s="219">
        <f>IFERROR((ENTRI!T91)," ")</f>
        <v>18</v>
      </c>
      <c r="Y91" s="219">
        <f>IFERROR((ENTRI!U91)," ")</f>
        <v>18</v>
      </c>
      <c r="Z91" s="219">
        <f>IFERROR((ENTRI!V91)," ")</f>
        <v>18</v>
      </c>
      <c r="AA91" s="219">
        <f>IFERROR((ENTRI!W91)," ")</f>
        <v>18</v>
      </c>
      <c r="AB91" s="219" t="str">
        <f>IFERROR((ENTRI!X91)," ")</f>
        <v>S1</v>
      </c>
      <c r="AC91" s="219" t="str">
        <f>IFERROR((ENTRI!Y91)," ")</f>
        <v xml:space="preserve">SOSIAL EKONOMI PERTANIAN</v>
      </c>
      <c r="AD91" s="219">
        <f>IFERROR((ENTRI!Z91)," ")</f>
        <v>2004</v>
      </c>
      <c r="AE91" s="219" t="str">
        <f>IFERROR((ENTRI!AA91)," ")</f>
        <v>BELUM</v>
      </c>
      <c r="AF91" s="219">
        <f>IFERROR((ENTRI!AB91)," ")</f>
        <v>0</v>
      </c>
      <c r="AG91" s="219" t="str">
        <f>IFERROR((ENTRI!AC91)," ")</f>
        <v xml:space="preserve"> </v>
      </c>
      <c r="AH91" s="219">
        <f>IFERROR((ENTRI!AD91)," ")</f>
        <v>0</v>
      </c>
      <c r="AI91" s="219" t="str">
        <f>IFERROR((ENTRI!AE91)," ")</f>
        <v xml:space="preserve">BIOLOGI DAN SOSIOLOGI</v>
      </c>
      <c r="AJ91" s="219">
        <f>IFERROR((ENTRI!AF91)," ")</f>
        <v>8</v>
      </c>
      <c r="AK91" s="219" t="str">
        <f>IFERROR((ENTRI!AG91)," ")</f>
        <v>-</v>
      </c>
      <c r="AL91" s="219" t="str">
        <f>IFERROR((ENTRI!AH91)," ")</f>
        <v>-</v>
      </c>
      <c r="AM91" s="219" t="str">
        <f>IFERROR((ENTRI!AI91)," ")</f>
        <v xml:space="preserve"> </v>
      </c>
      <c r="AN91" s="219" t="str">
        <f>IFERROR((ENTRI!AJ91)," ")</f>
        <v>BELUM</v>
      </c>
      <c r="AO91" s="219">
        <f>IFERROR((ENTRI!AK91)," ")</f>
        <v>0</v>
      </c>
      <c r="AP91" s="219">
        <f>IFERROR((ENTRI!AL91)," ")</f>
        <v>0</v>
      </c>
      <c r="AQ91" s="219" t="str">
        <f>IFERROR((ENTRI!AM91)," ")</f>
        <v>0537757659300042</v>
      </c>
      <c r="AR91" s="216" t="str">
        <f>E91&amp;"."&amp;H91&amp;"."&amp;AW91&amp;"."&amp;ENTRI!$E$4</f>
        <v>05.01.084.2025</v>
      </c>
      <c r="AS91" t="str">
        <f>"YPP.QH/KP.01."&amp;E91&amp;"/"&amp;AW91&amp;"/"&amp;ENTRI!$E$4</f>
        <v>YPP.QH/KP.01.05/084/2025</v>
      </c>
      <c r="AW91" s="277" t="s">
        <v>979</v>
      </c>
    </row>
    <row r="92">
      <c r="A92">
        <f t="shared" si="47"/>
        <v>53</v>
      </c>
      <c r="B92" s="276">
        <f t="shared" si="48"/>
        <v>2000</v>
      </c>
      <c r="C92" s="277">
        <v>85</v>
      </c>
      <c r="D92" s="219" t="str">
        <f>IFERROR(IF(ENTRI!B92=$AZ$9,$BA$9,IF(ENTRI!B92=$AZ$10,$BA$10,IF(ENTRI!B92=$AZ$11,$BA$11,IF(ENTRI!B92=$AZ$12,$BA$12,IF(ENTRI!B92=$AZ$13,$BA$13,IF(ENTRI!B92=$AZ$14,$BA$14,IF(ENTRI!B92=$AZ$15,$BA$15,IF(ENTRI!B92=$AZ$16,$BA$16,IF(ENTRI!B92=$AZ$17,$BA$17,IF(ENTRI!B92=$AZ$18,$BA$18," "))))))))))," ")</f>
        <v xml:space="preserve">MA Qomarul Hidayah</v>
      </c>
      <c r="E92" s="219" t="str">
        <f>IFERROR((ENTRI!C92)," ")</f>
        <v>05</v>
      </c>
      <c r="F92" s="219">
        <f t="shared" si="49"/>
        <v>53</v>
      </c>
      <c r="G92" s="219" t="str">
        <f>IFERROR((ENTRI!E92)," ")</f>
        <v>Guru</v>
      </c>
      <c r="H92" s="219" t="str">
        <f>IFERROR((ENTRI!F92)," ")</f>
        <v>01</v>
      </c>
      <c r="I92" s="219" t="str">
        <f>IFERROR((ENTRI!G92)," ")</f>
        <v xml:space="preserve">IMAM HANAFI AHMAD, S. Pd</v>
      </c>
      <c r="J92" s="219" t="str">
        <f>IFERROR((ENTRI!H92)," ")</f>
        <v xml:space="preserve">19871222  200707 05 01 11</v>
      </c>
      <c r="K92" s="219" t="str">
        <f>IFERROR((ENTRI!I92)," ")</f>
        <v>TRENGGALEK</v>
      </c>
      <c r="L92" s="219">
        <f>IFERROR((ENTRI!J92)," ")</f>
        <v>22</v>
      </c>
      <c r="M92" s="219">
        <f>IFERROR((ENTRI!K92)," ")</f>
        <v>12</v>
      </c>
      <c r="N92" s="219">
        <f>IFERROR((ENTRI!L92)," ")</f>
        <v>1987</v>
      </c>
      <c r="O92" s="219" t="str">
        <f t="shared" si="50"/>
        <v xml:space="preserve">TRENGGALEK, 22-12-1987</v>
      </c>
      <c r="P92" s="219">
        <f>IFERROR((ENTRI!N92)," ")</f>
        <v>13</v>
      </c>
      <c r="Q92" s="219" t="str">
        <f>IFERROR((ENTRI!O92)," ")</f>
        <v>07</v>
      </c>
      <c r="R92" s="219">
        <f>IFERROR((ENTRI!P92)," ")</f>
        <v>2007</v>
      </c>
      <c r="S92" s="219" t="str">
        <f t="shared" si="51"/>
        <v>13-07-2007</v>
      </c>
      <c r="T92" s="219">
        <f>IFERROR((ENTRI!Q92)," ")</f>
        <v>13</v>
      </c>
      <c r="U92" s="219" t="str">
        <f>IFERROR((ENTRI!R92)," ")</f>
        <v>07</v>
      </c>
      <c r="V92" s="219">
        <f>IFERROR((ENTRI!S92)," ")</f>
        <v>2007</v>
      </c>
      <c r="W92" s="219" t="str">
        <f t="shared" si="52"/>
        <v>13-07-2007</v>
      </c>
      <c r="X92" s="219">
        <f>IFERROR((ENTRI!T92)," ")</f>
        <v>18</v>
      </c>
      <c r="Y92" s="219">
        <f>IFERROR((ENTRI!U92)," ")</f>
        <v>18</v>
      </c>
      <c r="Z92" s="219">
        <f>IFERROR((ENTRI!V92)," ")</f>
        <v>18</v>
      </c>
      <c r="AA92" s="219">
        <f>IFERROR((ENTRI!W92)," ")</f>
        <v>18</v>
      </c>
      <c r="AB92" s="219" t="str">
        <f>IFERROR((ENTRI!X92)," ")</f>
        <v>S1</v>
      </c>
      <c r="AC92" s="219" t="str">
        <f>IFERROR((ENTRI!Y92)," ")</f>
        <v xml:space="preserve">BAHASA INGGRIS</v>
      </c>
      <c r="AD92" s="219">
        <f>IFERROR((ENTRI!Z92)," ")</f>
        <v>2011</v>
      </c>
      <c r="AE92" s="219" t="str">
        <f>IFERROR((ENTRI!AA92)," ")</f>
        <v>BELUM</v>
      </c>
      <c r="AF92" s="219">
        <f>IFERROR((ENTRI!AB92)," ")</f>
        <v>0</v>
      </c>
      <c r="AG92" s="219" t="str">
        <f>IFERROR((ENTRI!AC92)," ")</f>
        <v xml:space="preserve"> </v>
      </c>
      <c r="AH92" s="219">
        <f>IFERROR((ENTRI!AD92)," ")</f>
        <v>0</v>
      </c>
      <c r="AI92" s="219" t="str">
        <f>IFERROR((ENTRI!AE92)," ")</f>
        <v xml:space="preserve">BAHAS INGGRIS</v>
      </c>
      <c r="AJ92" s="219">
        <f>IFERROR((ENTRI!AF92)," ")</f>
        <v>4</v>
      </c>
      <c r="AK92" s="219" t="str">
        <f>IFERROR((ENTRI!AG92)," ")</f>
        <v>-</v>
      </c>
      <c r="AL92" s="219" t="str">
        <f>IFERROR((ENTRI!AH92)," ")</f>
        <v>-</v>
      </c>
      <c r="AM92" s="219" t="str">
        <f>IFERROR((ENTRI!AI92)," ")</f>
        <v xml:space="preserve"> </v>
      </c>
      <c r="AN92" s="219" t="str">
        <f>IFERROR((ENTRI!AJ92)," ")</f>
        <v>BELUM</v>
      </c>
      <c r="AO92" s="219">
        <f>IFERROR((ENTRI!AK92)," ")</f>
        <v>0</v>
      </c>
      <c r="AP92" s="219">
        <f>IFERROR((ENTRI!AL92)," ")</f>
        <v>0</v>
      </c>
      <c r="AQ92" s="219" t="str">
        <f>IFERROR((ENTRI!AM92)," ")</f>
        <v>1554765668200003</v>
      </c>
      <c r="AR92" s="216" t="str">
        <f>E92&amp;"."&amp;H92&amp;"."&amp;AW92&amp;"."&amp;ENTRI!$E$4</f>
        <v>05.01.085.2025</v>
      </c>
      <c r="AS92" t="str">
        <f>"YPP.QH/KP.01."&amp;E92&amp;"/"&amp;AW92&amp;"/"&amp;ENTRI!$E$4</f>
        <v>YPP.QH/KP.01.05/085/2025</v>
      </c>
      <c r="AW92" s="277" t="s">
        <v>980</v>
      </c>
    </row>
    <row r="93">
      <c r="A93">
        <f t="shared" si="47"/>
        <v>53</v>
      </c>
      <c r="B93" s="276">
        <f t="shared" si="48"/>
        <v>2000</v>
      </c>
      <c r="C93" s="277">
        <v>86</v>
      </c>
      <c r="D93" s="219" t="str">
        <f>IFERROR(IF(ENTRI!B93=$AZ$9,$BA$9,IF(ENTRI!B93=$AZ$10,$BA$10,IF(ENTRI!B93=$AZ$11,$BA$11,IF(ENTRI!B93=$AZ$12,$BA$12,IF(ENTRI!B93=$AZ$13,$BA$13,IF(ENTRI!B93=$AZ$14,$BA$14,IF(ENTRI!B93=$AZ$15,$BA$15,IF(ENTRI!B93=$AZ$16,$BA$16,IF(ENTRI!B93=$AZ$17,$BA$17,IF(ENTRI!B93=$AZ$18,$BA$18," "))))))))))," ")</f>
        <v xml:space="preserve">MA Qomarul Hidayah</v>
      </c>
      <c r="E93" s="219" t="str">
        <f>IFERROR((ENTRI!C93)," ")</f>
        <v>05</v>
      </c>
      <c r="F93" s="219">
        <f t="shared" si="49"/>
        <v>53</v>
      </c>
      <c r="G93" s="219" t="str">
        <f>IFERROR((ENTRI!E93)," ")</f>
        <v>Guru</v>
      </c>
      <c r="H93" s="219" t="str">
        <f>IFERROR((ENTRI!F93)," ")</f>
        <v>01</v>
      </c>
      <c r="I93" s="219" t="str">
        <f>IFERROR((ENTRI!G93)," ")</f>
        <v xml:space="preserve">SULISTIANA, ST</v>
      </c>
      <c r="J93" s="219" t="str">
        <f>IFERROR((ENTRI!H93)," ")</f>
        <v xml:space="preserve">19770624  200707 05 01 12</v>
      </c>
      <c r="K93" s="219" t="str">
        <f>IFERROR((ENTRI!I93)," ")</f>
        <v>TRENGGALEK</v>
      </c>
      <c r="L93" s="219">
        <f>IFERROR((ENTRI!J93)," ")</f>
        <v>24</v>
      </c>
      <c r="M93" s="219" t="str">
        <f>IFERROR((ENTRI!K93)," ")</f>
        <v>06</v>
      </c>
      <c r="N93" s="219">
        <f>IFERROR((ENTRI!L93)," ")</f>
        <v>1977</v>
      </c>
      <c r="O93" s="219" t="str">
        <f t="shared" si="50"/>
        <v xml:space="preserve">TRENGGALEK, 24-06-1977</v>
      </c>
      <c r="P93" s="219" t="str">
        <f>IFERROR((ENTRI!N93)," ")</f>
        <v>01</v>
      </c>
      <c r="Q93" s="219" t="str">
        <f>IFERROR((ENTRI!O93)," ")</f>
        <v>07</v>
      </c>
      <c r="R93" s="219">
        <f>IFERROR((ENTRI!P93)," ")</f>
        <v>2007</v>
      </c>
      <c r="S93" s="219" t="str">
        <f t="shared" si="51"/>
        <v>01-07-2007</v>
      </c>
      <c r="T93" s="219" t="str">
        <f>IFERROR((ENTRI!Q93)," ")</f>
        <v>01</v>
      </c>
      <c r="U93" s="219" t="str">
        <f>IFERROR((ENTRI!R93)," ")</f>
        <v>07</v>
      </c>
      <c r="V93" s="219">
        <f>IFERROR((ENTRI!S93)," ")</f>
        <v>2007</v>
      </c>
      <c r="W93" s="219" t="str">
        <f t="shared" si="52"/>
        <v>01-07-2007</v>
      </c>
      <c r="X93" s="219">
        <f>IFERROR((ENTRI!T93)," ")</f>
        <v>18</v>
      </c>
      <c r="Y93" s="219">
        <f>IFERROR((ENTRI!U93)," ")</f>
        <v>18</v>
      </c>
      <c r="Z93" s="219">
        <f>IFERROR((ENTRI!V93)," ")</f>
        <v>18</v>
      </c>
      <c r="AA93" s="219">
        <f>IFERROR((ENTRI!W93)," ")</f>
        <v>18</v>
      </c>
      <c r="AB93" s="219" t="str">
        <f>IFERROR((ENTRI!X93)," ")</f>
        <v>S1</v>
      </c>
      <c r="AC93" s="219" t="str">
        <f>IFERROR((ENTRI!Y93)," ")</f>
        <v xml:space="preserve">TEKNIK ELEKTRONIKA</v>
      </c>
      <c r="AD93" s="219">
        <f>IFERROR((ENTRI!Z93)," ")</f>
        <v>1999</v>
      </c>
      <c r="AE93" s="219" t="str">
        <f>IFERROR((ENTRI!AA93)," ")</f>
        <v>BELUM</v>
      </c>
      <c r="AF93" s="219">
        <f>IFERROR((ENTRI!AB93)," ")</f>
        <v>0</v>
      </c>
      <c r="AG93" s="219" t="str">
        <f>IFERROR((ENTRI!AC93)," ")</f>
        <v xml:space="preserve"> </v>
      </c>
      <c r="AH93" s="219">
        <f>IFERROR((ENTRI!AD93)," ")</f>
        <v>0</v>
      </c>
      <c r="AI93" s="219" t="str">
        <f>IFERROR((ENTRI!AE93)," ")</f>
        <v>MATEMATIKA</v>
      </c>
      <c r="AJ93" s="219">
        <f>IFERROR((ENTRI!AF93)," ")</f>
        <v>24</v>
      </c>
      <c r="AK93" s="219" t="str">
        <f>IFERROR((ENTRI!AG93)," ")</f>
        <v>-</v>
      </c>
      <c r="AL93" s="219" t="str">
        <f>IFERROR((ENTRI!AH93)," ")</f>
        <v>-</v>
      </c>
      <c r="AM93" s="219" t="str">
        <f>IFERROR((ENTRI!AI93)," ")</f>
        <v xml:space="preserve"> </v>
      </c>
      <c r="AN93" s="219" t="str">
        <f>IFERROR((ENTRI!AJ93)," ")</f>
        <v>BELUM</v>
      </c>
      <c r="AO93" s="219">
        <f>IFERROR((ENTRI!AK93)," ")</f>
        <v>0</v>
      </c>
      <c r="AP93" s="219">
        <f>IFERROR((ENTRI!AL93)," ")</f>
        <v>0</v>
      </c>
      <c r="AQ93" s="219" t="str">
        <f>IFERROR((ENTRI!AM93)," ")</f>
        <v>3956755656220002</v>
      </c>
      <c r="AR93" s="216" t="str">
        <f>E93&amp;"."&amp;H93&amp;"."&amp;AW93&amp;"."&amp;ENTRI!$E$4</f>
        <v>05.01.086.2025</v>
      </c>
      <c r="AS93" t="str">
        <f>"YPP.QH/KP.01."&amp;E93&amp;"/"&amp;AW93&amp;"/"&amp;ENTRI!$E$4</f>
        <v>YPP.QH/KP.01.05/086/2025</v>
      </c>
      <c r="AW93" s="277" t="s">
        <v>981</v>
      </c>
    </row>
    <row r="94">
      <c r="A94">
        <f t="shared" si="47"/>
        <v>60</v>
      </c>
      <c r="B94" s="276">
        <f t="shared" si="48"/>
        <v>2001</v>
      </c>
      <c r="C94" s="277">
        <v>87</v>
      </c>
      <c r="D94" s="219" t="str">
        <f>IFERROR(IF(ENTRI!B94=$AZ$9,$BA$9,IF(ENTRI!B94=$AZ$10,$BA$10,IF(ENTRI!B94=$AZ$11,$BA$11,IF(ENTRI!B94=$AZ$12,$BA$12,IF(ENTRI!B94=$AZ$13,$BA$13,IF(ENTRI!B94=$AZ$14,$BA$14,IF(ENTRI!B94=$AZ$15,$BA$15,IF(ENTRI!B94=$AZ$16,$BA$16,IF(ENTRI!B94=$AZ$17,$BA$17,IF(ENTRI!B94=$AZ$18,$BA$18," "))))))))))," ")</f>
        <v xml:space="preserve">MA Qomarul Hidayah</v>
      </c>
      <c r="E94" s="219" t="str">
        <f>IFERROR((ENTRI!C94)," ")</f>
        <v>05</v>
      </c>
      <c r="F94" s="219">
        <f t="shared" si="49"/>
        <v>60</v>
      </c>
      <c r="G94" s="219" t="str">
        <f>IFERROR((ENTRI!E94)," ")</f>
        <v>Guru</v>
      </c>
      <c r="H94" s="219" t="str">
        <f>IFERROR((ENTRI!F94)," ")</f>
        <v>01</v>
      </c>
      <c r="I94" s="219" t="str">
        <f>IFERROR((ENTRI!G94)," ")</f>
        <v xml:space="preserve">SRI LESTARI, SP</v>
      </c>
      <c r="J94" s="219" t="str">
        <f>IFERROR((ENTRI!H94)," ")</f>
        <v xml:space="preserve">19730507  200807 05 01 13</v>
      </c>
      <c r="K94" s="219" t="str">
        <f>IFERROR((ENTRI!I94)," ")</f>
        <v>JAKARTA</v>
      </c>
      <c r="L94" s="219" t="str">
        <f>IFERROR((ENTRI!J94)," ")</f>
        <v>07</v>
      </c>
      <c r="M94" s="219" t="str">
        <f>IFERROR((ENTRI!K94)," ")</f>
        <v>05</v>
      </c>
      <c r="N94" s="219">
        <f>IFERROR((ENTRI!L94)," ")</f>
        <v>1973</v>
      </c>
      <c r="O94" s="219" t="str">
        <f t="shared" si="50"/>
        <v xml:space="preserve">JAKARTA, 07-05-1973</v>
      </c>
      <c r="P94" s="219">
        <f>IFERROR((ENTRI!N94)," ")</f>
        <v>14</v>
      </c>
      <c r="Q94" s="219" t="str">
        <f>IFERROR((ENTRI!O94)," ")</f>
        <v>07</v>
      </c>
      <c r="R94" s="219">
        <f>IFERROR((ENTRI!P94)," ")</f>
        <v>2008</v>
      </c>
      <c r="S94" s="219" t="str">
        <f t="shared" si="51"/>
        <v>14-07-2008</v>
      </c>
      <c r="T94" s="219">
        <f>IFERROR((ENTRI!Q94)," ")</f>
        <v>14</v>
      </c>
      <c r="U94" s="219" t="str">
        <f>IFERROR((ENTRI!R94)," ")</f>
        <v>07</v>
      </c>
      <c r="V94" s="219">
        <f>IFERROR((ENTRI!S94)," ")</f>
        <v>2008</v>
      </c>
      <c r="W94" s="219" t="str">
        <f t="shared" si="52"/>
        <v>14-07-2008</v>
      </c>
      <c r="X94" s="219">
        <f>IFERROR((ENTRI!T94)," ")</f>
        <v>17</v>
      </c>
      <c r="Y94" s="219">
        <f>IFERROR((ENTRI!U94)," ")</f>
        <v>17</v>
      </c>
      <c r="Z94" s="219">
        <f>IFERROR((ENTRI!V94)," ")</f>
        <v>17</v>
      </c>
      <c r="AA94" s="219">
        <f>IFERROR((ENTRI!W94)," ")</f>
        <v>17</v>
      </c>
      <c r="AB94" s="219" t="str">
        <f>IFERROR((ENTRI!X94)," ")</f>
        <v>S1</v>
      </c>
      <c r="AC94" s="219" t="str">
        <f>IFERROR((ENTRI!Y94)," ")</f>
        <v xml:space="preserve">AGRO TEKNOLOGI</v>
      </c>
      <c r="AD94" s="219">
        <f>IFERROR((ENTRI!Z94)," ")</f>
        <v>2011</v>
      </c>
      <c r="AE94" s="219" t="str">
        <f>IFERROR((ENTRI!AA94)," ")</f>
        <v>BELUM</v>
      </c>
      <c r="AF94" s="219">
        <f>IFERROR((ENTRI!AB94)," ")</f>
        <v>0</v>
      </c>
      <c r="AG94" s="219" t="str">
        <f>IFERROR((ENTRI!AC94)," ")</f>
        <v xml:space="preserve"> </v>
      </c>
      <c r="AH94" s="219">
        <f>IFERROR((ENTRI!AD94)," ")</f>
        <v>0</v>
      </c>
      <c r="AI94" s="219" t="str">
        <f>IFERROR((ENTRI!AE94)," ")</f>
        <v xml:space="preserve">BAHASA INGGRIS</v>
      </c>
      <c r="AJ94" s="219">
        <f>IFERROR((ENTRI!AF94)," ")</f>
        <v>8</v>
      </c>
      <c r="AK94" s="219" t="str">
        <f>IFERROR((ENTRI!AG94)," ")</f>
        <v>-</v>
      </c>
      <c r="AL94" s="219" t="str">
        <f>IFERROR((ENTRI!AH94)," ")</f>
        <v>-</v>
      </c>
      <c r="AM94" s="219" t="str">
        <f>IFERROR((ENTRI!AI94)," ")</f>
        <v xml:space="preserve"> </v>
      </c>
      <c r="AN94" s="219" t="str">
        <f>IFERROR((ENTRI!AJ94)," ")</f>
        <v>BELUM</v>
      </c>
      <c r="AO94" s="219">
        <f>IFERROR((ENTRI!AK94)," ")</f>
        <v>0</v>
      </c>
      <c r="AP94" s="219">
        <f>IFERROR((ENTRI!AL94)," ")</f>
        <v>0</v>
      </c>
      <c r="AQ94" s="219" t="str">
        <f>IFERROR((ENTRI!AM94)," ")</f>
        <v>2839751652220002</v>
      </c>
      <c r="AR94" s="216" t="str">
        <f>E94&amp;"."&amp;H94&amp;"."&amp;AW94&amp;"."&amp;ENTRI!$E$4</f>
        <v>05.01.087.2025</v>
      </c>
      <c r="AS94" t="str">
        <f>"YPP.QH/KP.01."&amp;E94&amp;"/"&amp;AW94&amp;"/"&amp;ENTRI!$E$4</f>
        <v>YPP.QH/KP.01.05/087/2025</v>
      </c>
      <c r="AW94" s="277" t="s">
        <v>982</v>
      </c>
    </row>
    <row r="95">
      <c r="A95">
        <f t="shared" si="47"/>
        <v>66</v>
      </c>
      <c r="B95" s="276">
        <f t="shared" si="48"/>
        <v>2002</v>
      </c>
      <c r="C95" s="277">
        <v>88</v>
      </c>
      <c r="D95" s="219" t="str">
        <f>IFERROR(IF(ENTRI!B95=$AZ$9,$BA$9,IF(ENTRI!B95=$AZ$10,$BA$10,IF(ENTRI!B95=$AZ$11,$BA$11,IF(ENTRI!B95=$AZ$12,$BA$12,IF(ENTRI!B95=$AZ$13,$BA$13,IF(ENTRI!B95=$AZ$14,$BA$14,IF(ENTRI!B95=$AZ$15,$BA$15,IF(ENTRI!B95=$AZ$16,$BA$16,IF(ENTRI!B95=$AZ$17,$BA$17,IF(ENTRI!B95=$AZ$18,$BA$18," "))))))))))," ")</f>
        <v xml:space="preserve">MA Qomarul Hidayah</v>
      </c>
      <c r="E95" s="219" t="str">
        <f>IFERROR((ENTRI!C95)," ")</f>
        <v>05</v>
      </c>
      <c r="F95" s="219">
        <f t="shared" si="49"/>
        <v>66</v>
      </c>
      <c r="G95" s="219" t="str">
        <f>IFERROR((ENTRI!E95)," ")</f>
        <v>Guru</v>
      </c>
      <c r="H95" s="219" t="str">
        <f>IFERROR((ENTRI!F95)," ")</f>
        <v>01</v>
      </c>
      <c r="I95" s="219" t="str">
        <f>IFERROR((ENTRI!G95)," ")</f>
        <v xml:space="preserve">ZAHROH ANISAK, S. Pd. I</v>
      </c>
      <c r="J95" s="219" t="str">
        <f>IFERROR((ENTRI!H95)," ")</f>
        <v xml:space="preserve">19800830  200907 05 01 14</v>
      </c>
      <c r="K95" s="219" t="str">
        <f>IFERROR((ENTRI!I95)," ")</f>
        <v>TRENGGALEK</v>
      </c>
      <c r="L95" s="219">
        <f>IFERROR((ENTRI!J95)," ")</f>
        <v>30</v>
      </c>
      <c r="M95" s="219" t="str">
        <f>IFERROR((ENTRI!K95)," ")</f>
        <v>08</v>
      </c>
      <c r="N95" s="219">
        <f>IFERROR((ENTRI!L95)," ")</f>
        <v>1980</v>
      </c>
      <c r="O95" s="219" t="str">
        <f t="shared" si="50"/>
        <v xml:space="preserve">TRENGGALEK, 30-08-1980</v>
      </c>
      <c r="P95" s="219">
        <f>IFERROR((ENTRI!N95)," ")</f>
        <v>13</v>
      </c>
      <c r="Q95" s="219" t="str">
        <f>IFERROR((ENTRI!O95)," ")</f>
        <v>07</v>
      </c>
      <c r="R95" s="219">
        <f>IFERROR((ENTRI!P95)," ")</f>
        <v>2009</v>
      </c>
      <c r="S95" s="219" t="str">
        <f t="shared" si="51"/>
        <v>13-07-2009</v>
      </c>
      <c r="T95" s="219">
        <f>IFERROR((ENTRI!Q95)," ")</f>
        <v>13</v>
      </c>
      <c r="U95" s="219" t="str">
        <f>IFERROR((ENTRI!R95)," ")</f>
        <v>07</v>
      </c>
      <c r="V95" s="219">
        <f>IFERROR((ENTRI!S95)," ")</f>
        <v>2009</v>
      </c>
      <c r="W95" s="219" t="str">
        <f t="shared" si="52"/>
        <v>13-07-2009</v>
      </c>
      <c r="X95" s="219">
        <f>IFERROR((ENTRI!T95)," ")</f>
        <v>16</v>
      </c>
      <c r="Y95" s="219">
        <f>IFERROR((ENTRI!U95)," ")</f>
        <v>16</v>
      </c>
      <c r="Z95" s="219">
        <f>IFERROR((ENTRI!V95)," ")</f>
        <v>16</v>
      </c>
      <c r="AA95" s="219">
        <f>IFERROR((ENTRI!W95)," ")</f>
        <v>16</v>
      </c>
      <c r="AB95" s="219" t="str">
        <f>IFERROR((ENTRI!X95)," ")</f>
        <v>S1</v>
      </c>
      <c r="AC95" s="219" t="str">
        <f>IFERROR((ENTRI!Y95)," ")</f>
        <v xml:space="preserve">PENDIDIKAN AGAMA ISLAM</v>
      </c>
      <c r="AD95" s="219">
        <f>IFERROR((ENTRI!Z95)," ")</f>
        <v>2009</v>
      </c>
      <c r="AE95" s="219" t="str">
        <f>IFERROR((ENTRI!AA95)," ")</f>
        <v>BELUM</v>
      </c>
      <c r="AF95" s="219">
        <f>IFERROR((ENTRI!AB95)," ")</f>
        <v>0</v>
      </c>
      <c r="AG95" s="219" t="str">
        <f>IFERROR((ENTRI!AC95)," ")</f>
        <v xml:space="preserve"> </v>
      </c>
      <c r="AH95" s="219">
        <f>IFERROR((ENTRI!AD95)," ")</f>
        <v>0</v>
      </c>
      <c r="AI95" s="219" t="str">
        <f>IFERROR((ENTRI!AE95)," ")</f>
        <v xml:space="preserve">SENI BUDAYA</v>
      </c>
      <c r="AJ95" s="219">
        <f>IFERROR((ENTRI!AF95)," ")</f>
        <v>12</v>
      </c>
      <c r="AK95" s="219" t="str">
        <f>IFERROR((ENTRI!AG95)," ")</f>
        <v>-</v>
      </c>
      <c r="AL95" s="219" t="str">
        <f>IFERROR((ENTRI!AH95)," ")</f>
        <v>-</v>
      </c>
      <c r="AM95" s="219" t="str">
        <f>IFERROR((ENTRI!AI95)," ")</f>
        <v xml:space="preserve"> </v>
      </c>
      <c r="AN95" s="219" t="str">
        <f>IFERROR((ENTRI!AJ95)," ")</f>
        <v>BELUM</v>
      </c>
      <c r="AO95" s="219">
        <f>IFERROR((ENTRI!AK95)," ")</f>
        <v>0</v>
      </c>
      <c r="AP95" s="219">
        <f>IFERROR((ENTRI!AL95)," ")</f>
        <v>0</v>
      </c>
      <c r="AQ95" s="219" t="str">
        <f>IFERROR((ENTRI!AM95)," ")</f>
        <v>2162758659220003</v>
      </c>
      <c r="AR95" s="216" t="str">
        <f>E95&amp;"."&amp;H95&amp;"."&amp;AW95&amp;"."&amp;ENTRI!$E$4</f>
        <v>05.01.088.2025</v>
      </c>
      <c r="AS95" t="str">
        <f>"YPP.QH/KP.01."&amp;E95&amp;"/"&amp;AW95&amp;"/"&amp;ENTRI!$E$4</f>
        <v>YPP.QH/KP.01.05/088/2025</v>
      </c>
      <c r="AW95" s="277" t="s">
        <v>983</v>
      </c>
    </row>
    <row r="96">
      <c r="A96">
        <f t="shared" si="47"/>
        <v>75</v>
      </c>
      <c r="B96" s="276">
        <f t="shared" si="48"/>
        <v>2004</v>
      </c>
      <c r="C96" s="277">
        <v>89</v>
      </c>
      <c r="D96" s="219" t="str">
        <f>IFERROR(IF(ENTRI!B96=$AZ$9,$BA$9,IF(ENTRI!B96=$AZ$10,$BA$10,IF(ENTRI!B96=$AZ$11,$BA$11,IF(ENTRI!B96=$AZ$12,$BA$12,IF(ENTRI!B96=$AZ$13,$BA$13,IF(ENTRI!B96=$AZ$14,$BA$14,IF(ENTRI!B96=$AZ$15,$BA$15,IF(ENTRI!B96=$AZ$16,$BA$16,IF(ENTRI!B96=$AZ$17,$BA$17,IF(ENTRI!B96=$AZ$18,$BA$18," "))))))))))," ")</f>
        <v xml:space="preserve">MA Qomarul Hidayah</v>
      </c>
      <c r="E96" s="219" t="str">
        <f>IFERROR((ENTRI!C96)," ")</f>
        <v>05</v>
      </c>
      <c r="F96" s="219">
        <f t="shared" si="49"/>
        <v>75</v>
      </c>
      <c r="G96" s="219" t="str">
        <f>IFERROR((ENTRI!E96)," ")</f>
        <v>Guru</v>
      </c>
      <c r="H96" s="219" t="str">
        <f>IFERROR((ENTRI!F96)," ")</f>
        <v>01</v>
      </c>
      <c r="I96" s="219" t="str">
        <f>IFERROR((ENTRI!G96)," ")</f>
        <v xml:space="preserve">LINA AFIDATIS SALAFIYAH, S. S., S. Pd</v>
      </c>
      <c r="J96" s="219" t="str">
        <f>IFERROR((ENTRI!H96)," ")</f>
        <v xml:space="preserve">19891202  201107 05 01 15</v>
      </c>
      <c r="K96" s="219" t="str">
        <f>IFERROR((ENTRI!I96)," ")</f>
        <v>TRENGGALEK</v>
      </c>
      <c r="L96" s="219" t="str">
        <f>IFERROR((ENTRI!J96)," ")</f>
        <v>02</v>
      </c>
      <c r="M96" s="219">
        <f>IFERROR((ENTRI!K96)," ")</f>
        <v>12</v>
      </c>
      <c r="N96" s="219">
        <f>IFERROR((ENTRI!L96)," ")</f>
        <v>1989</v>
      </c>
      <c r="O96" s="219" t="str">
        <f t="shared" si="50"/>
        <v xml:space="preserve">TRENGGALEK, 02-12-1989</v>
      </c>
      <c r="P96" s="219">
        <f>IFERROR((ENTRI!N96)," ")</f>
        <v>11</v>
      </c>
      <c r="Q96" s="219" t="str">
        <f>IFERROR((ENTRI!O96)," ")</f>
        <v>07</v>
      </c>
      <c r="R96" s="219">
        <f>IFERROR((ENTRI!P96)," ")</f>
        <v>2011</v>
      </c>
      <c r="S96" s="219" t="str">
        <f t="shared" si="51"/>
        <v>11-07-2011</v>
      </c>
      <c r="T96" s="219">
        <f>IFERROR((ENTRI!Q96)," ")</f>
        <v>11</v>
      </c>
      <c r="U96" s="219" t="str">
        <f>IFERROR((ENTRI!R96)," ")</f>
        <v>07</v>
      </c>
      <c r="V96" s="219">
        <f>IFERROR((ENTRI!S96)," ")</f>
        <v>2011</v>
      </c>
      <c r="W96" s="219" t="str">
        <f t="shared" si="52"/>
        <v>11-07-2011</v>
      </c>
      <c r="X96" s="219">
        <f>IFERROR((ENTRI!T96)," ")</f>
        <v>14</v>
      </c>
      <c r="Y96" s="219">
        <f>IFERROR((ENTRI!U96)," ")</f>
        <v>14</v>
      </c>
      <c r="Z96" s="219">
        <f>IFERROR((ENTRI!V96)," ")</f>
        <v>14</v>
      </c>
      <c r="AA96" s="219">
        <f>IFERROR((ENTRI!W96)," ")</f>
        <v>14</v>
      </c>
      <c r="AB96" s="219" t="str">
        <f>IFERROR((ENTRI!X96)," ")</f>
        <v>S1</v>
      </c>
      <c r="AC96" s="219" t="str">
        <f>IFERROR((ENTRI!Y96)," ")</f>
        <v xml:space="preserve"> SASTRA PERANCIS</v>
      </c>
      <c r="AD96" s="219">
        <f>IFERROR((ENTRI!Z96)," ")</f>
        <v>0</v>
      </c>
      <c r="AE96" s="219" t="str">
        <f>IFERROR((ENTRI!AA96)," ")</f>
        <v>BELUM</v>
      </c>
      <c r="AF96" s="219">
        <f>IFERROR((ENTRI!AB96)," ")</f>
        <v>0</v>
      </c>
      <c r="AG96" s="219" t="str">
        <f>IFERROR((ENTRI!AC96)," ")</f>
        <v xml:space="preserve"> </v>
      </c>
      <c r="AH96" s="219">
        <f>IFERROR((ENTRI!AD96)," ")</f>
        <v>0</v>
      </c>
      <c r="AI96" s="219" t="str">
        <f>IFERROR((ENTRI!AE96)," ")</f>
        <v xml:space="preserve">BAHASA ASING</v>
      </c>
      <c r="AJ96" s="219">
        <f>IFERROR((ENTRI!AF96)," ")</f>
        <v>6</v>
      </c>
      <c r="AK96" s="219" t="str">
        <f>IFERROR((ENTRI!AG96)," ")</f>
        <v>-</v>
      </c>
      <c r="AL96" s="219" t="str">
        <f>IFERROR((ENTRI!AH96)," ")</f>
        <v>-</v>
      </c>
      <c r="AM96" s="219" t="str">
        <f>IFERROR((ENTRI!AI96)," ")</f>
        <v xml:space="preserve"> </v>
      </c>
      <c r="AN96" s="219" t="str">
        <f>IFERROR((ENTRI!AJ96)," ")</f>
        <v>BELUM</v>
      </c>
      <c r="AO96" s="219">
        <f>IFERROR((ENTRI!AK96)," ")</f>
        <v>0</v>
      </c>
      <c r="AP96" s="219">
        <f>IFERROR((ENTRI!AL96)," ")</f>
        <v>0</v>
      </c>
      <c r="AQ96" s="219" t="str">
        <f>IFERROR((ENTRI!AM96)," ")</f>
        <v>20542487189001</v>
      </c>
      <c r="AR96" s="216" t="str">
        <f>E96&amp;"."&amp;H96&amp;"."&amp;AW96&amp;"."&amp;ENTRI!$E$4</f>
        <v>05.01.089.2025</v>
      </c>
      <c r="AS96" t="str">
        <f>"YPP.QH/KP.01."&amp;E96&amp;"/"&amp;AW96&amp;"/"&amp;ENTRI!$E$4</f>
        <v>YPP.QH/KP.01.05/089/2025</v>
      </c>
      <c r="AW96" s="277" t="s">
        <v>984</v>
      </c>
    </row>
    <row r="97">
      <c r="A97">
        <f t="shared" si="47"/>
        <v>66</v>
      </c>
      <c r="B97" s="276">
        <f t="shared" si="48"/>
        <v>2002</v>
      </c>
      <c r="C97" s="277">
        <v>90</v>
      </c>
      <c r="D97" s="219" t="str">
        <f>IFERROR(IF(ENTRI!B97=$AZ$9,$BA$9,IF(ENTRI!B97=$AZ$10,$BA$10,IF(ENTRI!B97=$AZ$11,$BA$11,IF(ENTRI!B97=$AZ$12,$BA$12,IF(ENTRI!B97=$AZ$13,$BA$13,IF(ENTRI!B97=$AZ$14,$BA$14,IF(ENTRI!B97=$AZ$15,$BA$15,IF(ENTRI!B97=$AZ$16,$BA$16,IF(ENTRI!B97=$AZ$17,$BA$17,IF(ENTRI!B97=$AZ$18,$BA$18," "))))))))))," ")</f>
        <v xml:space="preserve">MA Qomarul Hidayah</v>
      </c>
      <c r="E97" s="219" t="str">
        <f>IFERROR((ENTRI!C97)," ")</f>
        <v>05</v>
      </c>
      <c r="F97" s="219">
        <f t="shared" si="49"/>
        <v>66</v>
      </c>
      <c r="G97" s="219" t="str">
        <f>IFERROR((ENTRI!E97)," ")</f>
        <v>Guru</v>
      </c>
      <c r="H97" s="219" t="str">
        <f>IFERROR((ENTRI!F97)," ")</f>
        <v>01</v>
      </c>
      <c r="I97" s="219" t="str">
        <f>IFERROR((ENTRI!G97)," ")</f>
        <v xml:space="preserve">HESTI MULYANINGSIH, SE</v>
      </c>
      <c r="J97" s="219" t="str">
        <f>IFERROR((ENTRI!H97)," ")</f>
        <v xml:space="preserve">19800101  200907 05 01 16</v>
      </c>
      <c r="K97" s="219" t="str">
        <f>IFERROR((ENTRI!I97)," ")</f>
        <v>SITUBONDO</v>
      </c>
      <c r="L97" s="219" t="str">
        <f>IFERROR((ENTRI!J97)," ")</f>
        <v>01</v>
      </c>
      <c r="M97" s="219" t="str">
        <f>IFERROR((ENTRI!K97)," ")</f>
        <v>01</v>
      </c>
      <c r="N97" s="219">
        <f>IFERROR((ENTRI!L97)," ")</f>
        <v>1980</v>
      </c>
      <c r="O97" s="219" t="str">
        <f t="shared" si="50"/>
        <v xml:space="preserve">SITUBONDO, 01-01-1980</v>
      </c>
      <c r="P97" s="219">
        <f>IFERROR((ENTRI!N97)," ")</f>
        <v>13</v>
      </c>
      <c r="Q97" s="219" t="str">
        <f>IFERROR((ENTRI!O97)," ")</f>
        <v>07</v>
      </c>
      <c r="R97" s="219">
        <f>IFERROR((ENTRI!P97)," ")</f>
        <v>2009</v>
      </c>
      <c r="S97" s="219" t="str">
        <f t="shared" si="51"/>
        <v>13-07-2009</v>
      </c>
      <c r="T97" s="219">
        <f>IFERROR((ENTRI!Q97)," ")</f>
        <v>13</v>
      </c>
      <c r="U97" s="219" t="str">
        <f>IFERROR((ENTRI!R97)," ")</f>
        <v>07</v>
      </c>
      <c r="V97" s="219">
        <f>IFERROR((ENTRI!S97)," ")</f>
        <v>2009</v>
      </c>
      <c r="W97" s="219" t="str">
        <f t="shared" si="52"/>
        <v>13-07-2009</v>
      </c>
      <c r="X97" s="219">
        <f>IFERROR((ENTRI!T97)," ")</f>
        <v>16</v>
      </c>
      <c r="Y97" s="219">
        <f>IFERROR((ENTRI!U97)," ")</f>
        <v>16</v>
      </c>
      <c r="Z97" s="219">
        <f>IFERROR((ENTRI!V97)," ")</f>
        <v>16</v>
      </c>
      <c r="AA97" s="219">
        <f>IFERROR((ENTRI!W97)," ")</f>
        <v>16</v>
      </c>
      <c r="AB97" s="219" t="str">
        <f>IFERROR((ENTRI!X97)," ")</f>
        <v>S1</v>
      </c>
      <c r="AC97" s="219" t="str">
        <f>IFERROR((ENTRI!Y97)," ")</f>
        <v>MANAJEMEN</v>
      </c>
      <c r="AD97" s="219">
        <f>IFERROR((ENTRI!Z97)," ")</f>
        <v>2002</v>
      </c>
      <c r="AE97" s="219" t="str">
        <f>IFERROR((ENTRI!AA97)," ")</f>
        <v>BELUM</v>
      </c>
      <c r="AF97" s="219">
        <f>IFERROR((ENTRI!AB97)," ")</f>
        <v>0</v>
      </c>
      <c r="AG97" s="219" t="str">
        <f>IFERROR((ENTRI!AC97)," ")</f>
        <v xml:space="preserve"> </v>
      </c>
      <c r="AH97" s="219">
        <f>IFERROR((ENTRI!AD97)," ")</f>
        <v>0</v>
      </c>
      <c r="AI97" s="219" t="str">
        <f>IFERROR((ENTRI!AE97)," ")</f>
        <v>PUSTAKAWAN</v>
      </c>
      <c r="AJ97" s="219">
        <f>IFERROR((ENTRI!AF97)," ")</f>
        <v>0</v>
      </c>
      <c r="AK97" s="219" t="str">
        <f>IFERROR((ENTRI!AG97)," ")</f>
        <v>-</v>
      </c>
      <c r="AL97" s="219" t="str">
        <f>IFERROR((ENTRI!AH97)," ")</f>
        <v>-</v>
      </c>
      <c r="AM97" s="219" t="str">
        <f>IFERROR((ENTRI!AI97)," ")</f>
        <v xml:space="preserve"> </v>
      </c>
      <c r="AN97" s="219" t="str">
        <f>IFERROR((ENTRI!AJ97)," ")</f>
        <v>BELUM</v>
      </c>
      <c r="AO97" s="219">
        <f>IFERROR((ENTRI!AK97)," ")</f>
        <v>0</v>
      </c>
      <c r="AP97" s="219">
        <f>IFERROR((ENTRI!AL97)," ")</f>
        <v>0</v>
      </c>
      <c r="AQ97" s="219" t="str">
        <f>IFERROR((ENTRI!AM97)," ")</f>
        <v>20542487180002</v>
      </c>
      <c r="AR97" s="216" t="str">
        <f>E97&amp;"."&amp;H97&amp;"."&amp;AW97&amp;"."&amp;ENTRI!$E$4</f>
        <v>05.01.090.2025</v>
      </c>
      <c r="AS97" t="str">
        <f>"YPP.QH/KP.01."&amp;E97&amp;"/"&amp;AW97&amp;"/"&amp;ENTRI!$E$4</f>
        <v>YPP.QH/KP.01.05/090/2025</v>
      </c>
      <c r="AW97" s="277" t="s">
        <v>985</v>
      </c>
    </row>
    <row r="98">
      <c r="A98">
        <f t="shared" si="47"/>
        <v>69</v>
      </c>
      <c r="B98" s="276">
        <f t="shared" si="48"/>
        <v>2003</v>
      </c>
      <c r="C98" s="277">
        <v>91</v>
      </c>
      <c r="D98" s="219" t="str">
        <f>IFERROR(IF(ENTRI!B98=$AZ$9,$BA$9,IF(ENTRI!B98=$AZ$10,$BA$10,IF(ENTRI!B98=$AZ$11,$BA$11,IF(ENTRI!B98=$AZ$12,$BA$12,IF(ENTRI!B98=$AZ$13,$BA$13,IF(ENTRI!B98=$AZ$14,$BA$14,IF(ENTRI!B98=$AZ$15,$BA$15,IF(ENTRI!B98=$AZ$16,$BA$16,IF(ENTRI!B98=$AZ$17,$BA$17,IF(ENTRI!B98=$AZ$18,$BA$18," "))))))))))," ")</f>
        <v xml:space="preserve">MA Qomarul Hidayah</v>
      </c>
      <c r="E98" s="219" t="str">
        <f>IFERROR((ENTRI!C98)," ")</f>
        <v>05</v>
      </c>
      <c r="F98" s="219">
        <f t="shared" si="49"/>
        <v>69</v>
      </c>
      <c r="G98" s="219" t="str">
        <f>IFERROR((ENTRI!E98)," ")</f>
        <v>Guru</v>
      </c>
      <c r="H98" s="219" t="str">
        <f>IFERROR((ENTRI!F98)," ")</f>
        <v>01</v>
      </c>
      <c r="I98" s="219" t="str">
        <f>IFERROR((ENTRI!G98)," ")</f>
        <v xml:space="preserve">SLAMET MARTONO, S. Pd. I</v>
      </c>
      <c r="J98" s="219" t="str">
        <f>IFERROR((ENTRI!H98)," ")</f>
        <v xml:space="preserve">19820313  201007 05 01 17</v>
      </c>
      <c r="K98" s="219" t="str">
        <f>IFERROR((ENTRI!I98)," ")</f>
        <v>KOTABUMI</v>
      </c>
      <c r="L98" s="219">
        <f>IFERROR((ENTRI!J98)," ")</f>
        <v>13</v>
      </c>
      <c r="M98" s="219" t="str">
        <f>IFERROR((ENTRI!K98)," ")</f>
        <v>03</v>
      </c>
      <c r="N98" s="219">
        <f>IFERROR((ENTRI!L98)," ")</f>
        <v>1982</v>
      </c>
      <c r="O98" s="219" t="str">
        <f t="shared" si="50"/>
        <v xml:space="preserve">KOTABUMI, 13-03-1982</v>
      </c>
      <c r="P98" s="219" t="str">
        <f>IFERROR((ENTRI!N98)," ")</f>
        <v>11</v>
      </c>
      <c r="Q98" s="219" t="str">
        <f>IFERROR((ENTRI!O98)," ")</f>
        <v>07</v>
      </c>
      <c r="R98" s="219">
        <f>IFERROR((ENTRI!P98)," ")</f>
        <v>2010</v>
      </c>
      <c r="S98" s="219" t="str">
        <f t="shared" si="51"/>
        <v>11-07-2010</v>
      </c>
      <c r="T98" s="219">
        <f>IFERROR((ENTRI!Q98)," ")</f>
        <v>12</v>
      </c>
      <c r="U98" s="219" t="str">
        <f>IFERROR((ENTRI!R98)," ")</f>
        <v>07</v>
      </c>
      <c r="V98" s="219">
        <f>IFERROR((ENTRI!S98)," ")</f>
        <v>2011</v>
      </c>
      <c r="W98" s="219" t="str">
        <f t="shared" si="52"/>
        <v>12-07-2011</v>
      </c>
      <c r="X98" s="219">
        <f>IFERROR((ENTRI!T98)," ")</f>
        <v>14</v>
      </c>
      <c r="Y98" s="219">
        <f>IFERROR((ENTRI!U98)," ")</f>
        <v>15</v>
      </c>
      <c r="Z98" s="219">
        <f>IFERROR((ENTRI!V98)," ")</f>
        <v>15</v>
      </c>
      <c r="AA98" s="219">
        <f>IFERROR((ENTRI!W98)," ")</f>
        <v>14</v>
      </c>
      <c r="AB98" s="219" t="str">
        <f>IFERROR((ENTRI!X98)," ")</f>
        <v>S1</v>
      </c>
      <c r="AC98" s="219" t="str">
        <f>IFERROR((ENTRI!Y98)," ")</f>
        <v xml:space="preserve">PENDIDIKAN AGAMA ISLAM </v>
      </c>
      <c r="AD98" s="219">
        <f>IFERROR((ENTRI!Z98)," ")</f>
        <v>0</v>
      </c>
      <c r="AE98" s="219" t="str">
        <f>IFERROR((ENTRI!AA98)," ")</f>
        <v>BELUM</v>
      </c>
      <c r="AF98" s="219">
        <f>IFERROR((ENTRI!AB98)," ")</f>
        <v>0</v>
      </c>
      <c r="AG98" s="219" t="str">
        <f>IFERROR((ENTRI!AC98)," ")</f>
        <v xml:space="preserve"> </v>
      </c>
      <c r="AH98" s="219">
        <f>IFERROR((ENTRI!AD98)," ")</f>
        <v>0</v>
      </c>
      <c r="AI98" s="219" t="str">
        <f>IFERROR((ENTRI!AE98)," ")</f>
        <v>ASWAJA</v>
      </c>
      <c r="AJ98" s="219">
        <f>IFERROR((ENTRI!AF98)," ")</f>
        <v>6</v>
      </c>
      <c r="AK98" s="219" t="str">
        <f>IFERROR((ENTRI!AG98)," ")</f>
        <v>-</v>
      </c>
      <c r="AL98" s="219" t="str">
        <f>IFERROR((ENTRI!AH98)," ")</f>
        <v>-</v>
      </c>
      <c r="AM98" s="219" t="str">
        <f>IFERROR((ENTRI!AI98)," ")</f>
        <v xml:space="preserve"> </v>
      </c>
      <c r="AN98" s="219" t="str">
        <f>IFERROR((ENTRI!AJ98)," ")</f>
        <v>BELUM</v>
      </c>
      <c r="AO98" s="219">
        <f>IFERROR((ENTRI!AK98)," ")</f>
        <v>0</v>
      </c>
      <c r="AP98" s="219">
        <f>IFERROR((ENTRI!AL98)," ")</f>
        <v>0</v>
      </c>
      <c r="AQ98" s="219" t="str">
        <f>IFERROR((ENTRI!AM98)," ")</f>
        <v>20542487182001</v>
      </c>
      <c r="AR98" s="216" t="str">
        <f>E98&amp;"."&amp;H98&amp;"."&amp;AW98&amp;"."&amp;ENTRI!$E$4</f>
        <v>05.01.091.2025</v>
      </c>
      <c r="AS98" t="str">
        <f>"YPP.QH/KP.01."&amp;E98&amp;"/"&amp;AW98&amp;"/"&amp;ENTRI!$E$4</f>
        <v>YPP.QH/KP.01.05/091/2025</v>
      </c>
      <c r="AW98" s="277" t="s">
        <v>986</v>
      </c>
    </row>
    <row r="99">
      <c r="A99">
        <f t="shared" si="47"/>
        <v>75</v>
      </c>
      <c r="B99" s="276">
        <f t="shared" si="48"/>
        <v>2004</v>
      </c>
      <c r="C99" s="277">
        <v>92</v>
      </c>
      <c r="D99" s="219" t="str">
        <f>IFERROR(IF(ENTRI!B99=$AZ$9,$BA$9,IF(ENTRI!B99=$AZ$10,$BA$10,IF(ENTRI!B99=$AZ$11,$BA$11,IF(ENTRI!B99=$AZ$12,$BA$12,IF(ENTRI!B99=$AZ$13,$BA$13,IF(ENTRI!B99=$AZ$14,$BA$14,IF(ENTRI!B99=$AZ$15,$BA$15,IF(ENTRI!B99=$AZ$16,$BA$16,IF(ENTRI!B99=$AZ$17,$BA$17,IF(ENTRI!B99=$AZ$18,$BA$18," "))))))))))," ")</f>
        <v xml:space="preserve">MA Qomarul Hidayah</v>
      </c>
      <c r="E99" s="219" t="str">
        <f>IFERROR((ENTRI!C99)," ")</f>
        <v>05</v>
      </c>
      <c r="F99" s="219">
        <f t="shared" si="49"/>
        <v>75</v>
      </c>
      <c r="G99" s="219" t="str">
        <f>IFERROR((ENTRI!E99)," ")</f>
        <v>Guru</v>
      </c>
      <c r="H99" s="219" t="str">
        <f>IFERROR((ENTRI!F99)," ")</f>
        <v>01</v>
      </c>
      <c r="I99" s="219" t="str">
        <f>IFERROR((ENTRI!G99)," ")</f>
        <v xml:space="preserve">AGUS RIZQIANI, S.Pd. I</v>
      </c>
      <c r="J99" s="219" t="str">
        <f>IFERROR((ENTRI!H99)," ")</f>
        <v xml:space="preserve">19900825  201107 05 01 18</v>
      </c>
      <c r="K99" s="219" t="str">
        <f>IFERROR((ENTRI!I99)," ")</f>
        <v>TRENGGALEK</v>
      </c>
      <c r="L99" s="219">
        <f>IFERROR((ENTRI!J99)," ")</f>
        <v>25</v>
      </c>
      <c r="M99" s="219" t="str">
        <f>IFERROR((ENTRI!K99)," ")</f>
        <v>08</v>
      </c>
      <c r="N99" s="219">
        <f>IFERROR((ENTRI!L99)," ")</f>
        <v>1990</v>
      </c>
      <c r="O99" s="219" t="str">
        <f t="shared" si="50"/>
        <v xml:space="preserve">TRENGGALEK, 25-08-1990</v>
      </c>
      <c r="P99" s="219">
        <f>IFERROR((ENTRI!N99)," ")</f>
        <v>11</v>
      </c>
      <c r="Q99" s="219" t="str">
        <f>IFERROR((ENTRI!O99)," ")</f>
        <v>07</v>
      </c>
      <c r="R99" s="219">
        <f>IFERROR((ENTRI!P99)," ")</f>
        <v>2011</v>
      </c>
      <c r="S99" s="219" t="str">
        <f t="shared" si="51"/>
        <v>11-07-2011</v>
      </c>
      <c r="T99" s="219">
        <f>IFERROR((ENTRI!Q99)," ")</f>
        <v>11</v>
      </c>
      <c r="U99" s="219" t="str">
        <f>IFERROR((ENTRI!R99)," ")</f>
        <v>07</v>
      </c>
      <c r="V99" s="219">
        <f>IFERROR((ENTRI!S99)," ")</f>
        <v>2011</v>
      </c>
      <c r="W99" s="219" t="str">
        <f t="shared" si="52"/>
        <v>11-07-2011</v>
      </c>
      <c r="X99" s="219">
        <f>IFERROR((ENTRI!T99)," ")</f>
        <v>14</v>
      </c>
      <c r="Y99" s="219">
        <f>IFERROR((ENTRI!U99)," ")</f>
        <v>14</v>
      </c>
      <c r="Z99" s="219">
        <f>IFERROR((ENTRI!V99)," ")</f>
        <v>14</v>
      </c>
      <c r="AA99" s="219">
        <f>IFERROR((ENTRI!W99)," ")</f>
        <v>14</v>
      </c>
      <c r="AB99" s="219" t="str">
        <f>IFERROR((ENTRI!X99)," ")</f>
        <v>S1</v>
      </c>
      <c r="AC99" s="219" t="str">
        <f>IFERROR((ENTRI!Y99)," ")</f>
        <v xml:space="preserve">PENDIDIKAN AGAMA ISLAM</v>
      </c>
      <c r="AD99" s="219">
        <f>IFERROR((ENTRI!Z99)," ")</f>
        <v>2014</v>
      </c>
      <c r="AE99" s="219" t="str">
        <f>IFERROR((ENTRI!AA99)," ")</f>
        <v>BELUM</v>
      </c>
      <c r="AF99" s="219">
        <f>IFERROR((ENTRI!AB99)," ")</f>
        <v>0</v>
      </c>
      <c r="AG99" s="219" t="str">
        <f>IFERROR((ENTRI!AC99)," ")</f>
        <v xml:space="preserve"> </v>
      </c>
      <c r="AH99" s="219">
        <f>IFERROR((ENTRI!AD99)," ")</f>
        <v>0</v>
      </c>
      <c r="AI99" s="219" t="str">
        <f>IFERROR((ENTRI!AE99)," ")</f>
        <v>MUHADATSAH</v>
      </c>
      <c r="AJ99" s="219">
        <f>IFERROR((ENTRI!AF99)," ")</f>
        <v>4</v>
      </c>
      <c r="AK99" s="219" t="str">
        <f>IFERROR((ENTRI!AG99)," ")</f>
        <v>-</v>
      </c>
      <c r="AL99" s="219" t="str">
        <f>IFERROR((ENTRI!AH99)," ")</f>
        <v>-</v>
      </c>
      <c r="AM99" s="219" t="str">
        <f>IFERROR((ENTRI!AI99)," ")</f>
        <v xml:space="preserve"> </v>
      </c>
      <c r="AN99" s="219" t="str">
        <f>IFERROR((ENTRI!AJ99)," ")</f>
        <v>BELUM</v>
      </c>
      <c r="AO99" s="219">
        <f>IFERROR((ENTRI!AK99)," ")</f>
        <v>0</v>
      </c>
      <c r="AP99" s="219">
        <f>IFERROR((ENTRI!AL99)," ")</f>
        <v>0</v>
      </c>
      <c r="AQ99" s="219" t="str">
        <f>IFERROR((ENTRI!AM99)," ")</f>
        <v>20542487190001</v>
      </c>
      <c r="AR99" s="216" t="str">
        <f>E99&amp;"."&amp;H99&amp;"."&amp;AW99&amp;"."&amp;ENTRI!$E$4</f>
        <v>05.01.092.2025</v>
      </c>
      <c r="AS99" t="str">
        <f>"YPP.QH/KP.01."&amp;E99&amp;"/"&amp;AW99&amp;"/"&amp;ENTRI!$E$4</f>
        <v>YPP.QH/KP.01.05/092/2025</v>
      </c>
      <c r="AW99" s="277" t="s">
        <v>987</v>
      </c>
    </row>
    <row r="100">
      <c r="A100">
        <f t="shared" si="47"/>
        <v>75</v>
      </c>
      <c r="B100" s="276">
        <f t="shared" si="48"/>
        <v>2004</v>
      </c>
      <c r="C100" s="277">
        <v>93</v>
      </c>
      <c r="D100" s="219" t="str">
        <f>IFERROR(IF(ENTRI!B100=$AZ$9,$BA$9,IF(ENTRI!B100=$AZ$10,$BA$10,IF(ENTRI!B100=$AZ$11,$BA$11,IF(ENTRI!B100=$AZ$12,$BA$12,IF(ENTRI!B100=$AZ$13,$BA$13,IF(ENTRI!B100=$AZ$14,$BA$14,IF(ENTRI!B100=$AZ$15,$BA$15,IF(ENTRI!B100=$AZ$16,$BA$16,IF(ENTRI!B100=$AZ$17,$BA$17,IF(ENTRI!B100=$AZ$18,$BA$18," "))))))))))," ")</f>
        <v xml:space="preserve">MA Qomarul Hidayah</v>
      </c>
      <c r="E100" s="219" t="str">
        <f>IFERROR((ENTRI!C100)," ")</f>
        <v>05</v>
      </c>
      <c r="F100" s="219">
        <f t="shared" si="49"/>
        <v>75</v>
      </c>
      <c r="G100" s="219" t="str">
        <f>IFERROR((ENTRI!E100)," ")</f>
        <v>Guru</v>
      </c>
      <c r="H100" s="219" t="str">
        <f>IFERROR((ENTRI!F100)," ")</f>
        <v>01</v>
      </c>
      <c r="I100" s="219" t="str">
        <f>IFERROR((ENTRI!G100)," ")</f>
        <v xml:space="preserve">ANA ROHMATUL UMAH, S. Pd</v>
      </c>
      <c r="J100" s="219" t="str">
        <f>IFERROR((ENTRI!H100)," ")</f>
        <v xml:space="preserve">19920524  201107 05 01 24</v>
      </c>
      <c r="K100" s="219" t="str">
        <f>IFERROR((ENTRI!I100)," ")</f>
        <v>TRENGGALEK</v>
      </c>
      <c r="L100" s="219">
        <f>IFERROR((ENTRI!J100)," ")</f>
        <v>24</v>
      </c>
      <c r="M100" s="219" t="str">
        <f>IFERROR((ENTRI!K100)," ")</f>
        <v>05</v>
      </c>
      <c r="N100" s="219">
        <f>IFERROR((ENTRI!L100)," ")</f>
        <v>1992</v>
      </c>
      <c r="O100" s="219" t="str">
        <f t="shared" si="50"/>
        <v xml:space="preserve">TRENGGALEK, 24-05-1992</v>
      </c>
      <c r="P100" s="219">
        <f>IFERROR((ENTRI!N100)," ")</f>
        <v>11</v>
      </c>
      <c r="Q100" s="219" t="str">
        <f>IFERROR((ENTRI!O100)," ")</f>
        <v>07</v>
      </c>
      <c r="R100" s="219">
        <f>IFERROR((ENTRI!P100)," ")</f>
        <v>2011</v>
      </c>
      <c r="S100" s="219" t="str">
        <f t="shared" si="51"/>
        <v>11-07-2011</v>
      </c>
      <c r="T100" s="219">
        <f>IFERROR((ENTRI!Q100)," ")</f>
        <v>11</v>
      </c>
      <c r="U100" s="219" t="str">
        <f>IFERROR((ENTRI!R100)," ")</f>
        <v>07</v>
      </c>
      <c r="V100" s="219">
        <f>IFERROR((ENTRI!S100)," ")</f>
        <v>2011</v>
      </c>
      <c r="W100" s="219" t="str">
        <f t="shared" si="52"/>
        <v>11-07-2011</v>
      </c>
      <c r="X100" s="219">
        <f>IFERROR((ENTRI!T100)," ")</f>
        <v>14</v>
      </c>
      <c r="Y100" s="219">
        <f>IFERROR((ENTRI!U100)," ")</f>
        <v>14</v>
      </c>
      <c r="Z100" s="219">
        <f>IFERROR((ENTRI!V100)," ")</f>
        <v>14</v>
      </c>
      <c r="AA100" s="219">
        <f>IFERROR((ENTRI!W100)," ")</f>
        <v>14</v>
      </c>
      <c r="AB100" s="219" t="str">
        <f>IFERROR((ENTRI!X100)," ")</f>
        <v>S1</v>
      </c>
      <c r="AC100" s="219" t="str">
        <f>IFERROR((ENTRI!Y100)," ")</f>
        <v xml:space="preserve">PENDIDIKAN BAHASA INGGRIS</v>
      </c>
      <c r="AD100" s="219">
        <f>IFERROR((ENTRI!Z100)," ")</f>
        <v>2010</v>
      </c>
      <c r="AE100" s="219" t="str">
        <f>IFERROR((ENTRI!AA100)," ")</f>
        <v>BELUM</v>
      </c>
      <c r="AF100" s="219">
        <f>IFERROR((ENTRI!AB100)," ")</f>
        <v>0</v>
      </c>
      <c r="AG100" s="219" t="str">
        <f>IFERROR((ENTRI!AC100)," ")</f>
        <v xml:space="preserve"> </v>
      </c>
      <c r="AH100" s="219">
        <f>IFERROR((ENTRI!AD100)," ")</f>
        <v>0</v>
      </c>
      <c r="AI100" s="219" t="str">
        <f>IFERROR((ENTRI!AE100)," ")</f>
        <v>CONVERSATION</v>
      </c>
      <c r="AJ100" s="219">
        <f>IFERROR((ENTRI!AF100)," ")</f>
        <v>4</v>
      </c>
      <c r="AK100" s="219" t="str">
        <f>IFERROR((ENTRI!AG100)," ")</f>
        <v>-</v>
      </c>
      <c r="AL100" s="219" t="str">
        <f>IFERROR((ENTRI!AH100)," ")</f>
        <v>-</v>
      </c>
      <c r="AM100" s="219" t="str">
        <f>IFERROR((ENTRI!AI100)," ")</f>
        <v xml:space="preserve"> </v>
      </c>
      <c r="AN100" s="219" t="str">
        <f>IFERROR((ENTRI!AJ100)," ")</f>
        <v>BELUM</v>
      </c>
      <c r="AO100" s="219">
        <f>IFERROR((ENTRI!AK100)," ")</f>
        <v>0</v>
      </c>
      <c r="AP100" s="219">
        <f>IFERROR((ENTRI!AL100)," ")</f>
        <v>0</v>
      </c>
      <c r="AQ100" s="219" t="str">
        <f>IFERROR((ENTRI!AM100)," ")</f>
        <v>20542487192001</v>
      </c>
      <c r="AR100" s="216" t="str">
        <f>E100&amp;"."&amp;H100&amp;"."&amp;AW100&amp;"."&amp;ENTRI!$E$4</f>
        <v>05.01.093.2025</v>
      </c>
      <c r="AS100" t="str">
        <f>"YPP.QH/KP.01."&amp;E100&amp;"/"&amp;AW100&amp;"/"&amp;ENTRI!$E$4</f>
        <v>YPP.QH/KP.01.05/093/2025</v>
      </c>
      <c r="AW100" s="277" t="s">
        <v>988</v>
      </c>
    </row>
    <row r="101">
      <c r="A101">
        <f t="shared" si="47"/>
        <v>82</v>
      </c>
      <c r="B101" s="276">
        <f t="shared" si="48"/>
        <v>2005</v>
      </c>
      <c r="C101" s="277">
        <v>94</v>
      </c>
      <c r="D101" s="219" t="str">
        <f>IFERROR(IF(ENTRI!B101=$AZ$9,$BA$9,IF(ENTRI!B101=$AZ$10,$BA$10,IF(ENTRI!B101=$AZ$11,$BA$11,IF(ENTRI!B101=$AZ$12,$BA$12,IF(ENTRI!B101=$AZ$13,$BA$13,IF(ENTRI!B101=$AZ$14,$BA$14,IF(ENTRI!B101=$AZ$15,$BA$15,IF(ENTRI!B101=$AZ$16,$BA$16,IF(ENTRI!B101=$AZ$17,$BA$17,IF(ENTRI!B101=$AZ$18,$BA$18," "))))))))))," ")</f>
        <v xml:space="preserve">MA Qomarul Hidayah</v>
      </c>
      <c r="E101" s="219" t="str">
        <f>IFERROR((ENTRI!C101)," ")</f>
        <v>05</v>
      </c>
      <c r="F101" s="219">
        <f t="shared" si="49"/>
        <v>82</v>
      </c>
      <c r="G101" s="219" t="str">
        <f>IFERROR((ENTRI!E101)," ")</f>
        <v>Guru</v>
      </c>
      <c r="H101" s="219" t="str">
        <f>IFERROR((ENTRI!F101)," ")</f>
        <v>01</v>
      </c>
      <c r="I101" s="219" t="str">
        <f>IFERROR((ENTRI!G101)," ")</f>
        <v xml:space="preserve">BAHRUL ULUM,S.Pd</v>
      </c>
      <c r="J101" s="219" t="str">
        <f>IFERROR((ENTRI!H101)," ")</f>
        <v xml:space="preserve">19940319  201207 05 01 20</v>
      </c>
      <c r="K101" s="219" t="str">
        <f>IFERROR((ENTRI!I101)," ")</f>
        <v>TRENGGALEK</v>
      </c>
      <c r="L101" s="219">
        <f>IFERROR((ENTRI!J101)," ")</f>
        <v>19</v>
      </c>
      <c r="M101" s="219" t="str">
        <f>IFERROR((ENTRI!K101)," ")</f>
        <v>03</v>
      </c>
      <c r="N101" s="219">
        <f>IFERROR((ENTRI!L101)," ")</f>
        <v>1994</v>
      </c>
      <c r="O101" s="219" t="str">
        <f t="shared" si="50"/>
        <v xml:space="preserve">TRENGGALEK, 19-03-1994</v>
      </c>
      <c r="P101" s="219" t="str">
        <f>IFERROR((ENTRI!N101)," ")</f>
        <v>07</v>
      </c>
      <c r="Q101" s="219" t="str">
        <f>IFERROR((ENTRI!O101)," ")</f>
        <v>07</v>
      </c>
      <c r="R101" s="219">
        <f>IFERROR((ENTRI!P101)," ")</f>
        <v>2012</v>
      </c>
      <c r="S101" s="219" t="str">
        <f t="shared" si="51"/>
        <v>07-07-2012</v>
      </c>
      <c r="T101" s="219" t="str">
        <f>IFERROR((ENTRI!Q101)," ")</f>
        <v>07</v>
      </c>
      <c r="U101" s="219" t="str">
        <f>IFERROR((ENTRI!R101)," ")</f>
        <v>07</v>
      </c>
      <c r="V101" s="219">
        <f>IFERROR((ENTRI!S101)," ")</f>
        <v>2012</v>
      </c>
      <c r="W101" s="219" t="str">
        <f t="shared" si="52"/>
        <v>07-07-2012</v>
      </c>
      <c r="X101" s="219">
        <f>IFERROR((ENTRI!T101)," ")</f>
        <v>13</v>
      </c>
      <c r="Y101" s="219">
        <f>IFERROR((ENTRI!U101)," ")</f>
        <v>13</v>
      </c>
      <c r="Z101" s="219">
        <f>IFERROR((ENTRI!V101)," ")</f>
        <v>13</v>
      </c>
      <c r="AA101" s="219">
        <f>IFERROR((ENTRI!W101)," ")</f>
        <v>13</v>
      </c>
      <c r="AB101" s="219" t="str">
        <f>IFERROR((ENTRI!X101)," ")</f>
        <v>S1</v>
      </c>
      <c r="AC101" s="219" t="str">
        <f>IFERROR((ENTRI!Y101)," ")</f>
        <v xml:space="preserve">Pendidikan Agama Islam</v>
      </c>
      <c r="AD101" s="219">
        <f>IFERROR((ENTRI!Z101)," ")</f>
        <v>2016</v>
      </c>
      <c r="AE101" s="219" t="str">
        <f>IFERROR((ENTRI!AA101)," ")</f>
        <v>BELUM</v>
      </c>
      <c r="AF101" s="219">
        <f>IFERROR((ENTRI!AB101)," ")</f>
        <v>0</v>
      </c>
      <c r="AG101" s="219" t="str">
        <f>IFERROR((ENTRI!AC101)," ")</f>
        <v xml:space="preserve"> </v>
      </c>
      <c r="AH101" s="219">
        <f>IFERROR((ENTRI!AD101)," ")</f>
        <v>0</v>
      </c>
      <c r="AI101" s="219" t="str">
        <f>IFERROR((ENTRI!AE101)," ")</f>
        <v>MUHADATSAH</v>
      </c>
      <c r="AJ101" s="219">
        <f>IFERROR((ENTRI!AF101)," ")</f>
        <v>4</v>
      </c>
      <c r="AK101" s="219" t="str">
        <f>IFERROR((ENTRI!AG101)," ")</f>
        <v>-</v>
      </c>
      <c r="AL101" s="219" t="str">
        <f>IFERROR((ENTRI!AH101)," ")</f>
        <v>-</v>
      </c>
      <c r="AM101" s="219" t="str">
        <f>IFERROR((ENTRI!AI101)," ")</f>
        <v xml:space="preserve"> </v>
      </c>
      <c r="AN101" s="219" t="str">
        <f>IFERROR((ENTRI!AJ101)," ")</f>
        <v>BELUM</v>
      </c>
      <c r="AO101" s="219">
        <f>IFERROR((ENTRI!AK101)," ")</f>
        <v>0</v>
      </c>
      <c r="AP101" s="219">
        <f>IFERROR((ENTRI!AL101)," ")</f>
        <v>0</v>
      </c>
      <c r="AQ101" s="219" t="str">
        <f>IFERROR((ENTRI!AM101)," ")</f>
        <v>20542487194001</v>
      </c>
      <c r="AR101" s="216" t="str">
        <f>E101&amp;"."&amp;H101&amp;"."&amp;AW101&amp;"."&amp;ENTRI!$E$4</f>
        <v>05.01.094.2025</v>
      </c>
      <c r="AS101" t="str">
        <f>"YPP.QH/KP.01."&amp;E101&amp;"/"&amp;AW101&amp;"/"&amp;ENTRI!$E$4</f>
        <v>YPP.QH/KP.01.05/094/2025</v>
      </c>
      <c r="AW101" s="277" t="s">
        <v>989</v>
      </c>
    </row>
    <row r="102">
      <c r="A102">
        <f t="shared" si="47"/>
        <v>86</v>
      </c>
      <c r="B102" s="276">
        <f t="shared" si="48"/>
        <v>2006</v>
      </c>
      <c r="C102" s="277">
        <v>95</v>
      </c>
      <c r="D102" s="219" t="str">
        <f>IFERROR(IF(ENTRI!B102=$AZ$9,$BA$9,IF(ENTRI!B102=$AZ$10,$BA$10,IF(ENTRI!B102=$AZ$11,$BA$11,IF(ENTRI!B102=$AZ$12,$BA$12,IF(ENTRI!B102=$AZ$13,$BA$13,IF(ENTRI!B102=$AZ$14,$BA$14,IF(ENTRI!B102=$AZ$15,$BA$15,IF(ENTRI!B102=$AZ$16,$BA$16,IF(ENTRI!B102=$AZ$17,$BA$17,IF(ENTRI!B102=$AZ$18,$BA$18," "))))))))))," ")</f>
        <v xml:space="preserve">MA Qomarul Hidayah</v>
      </c>
      <c r="E102" s="219" t="str">
        <f>IFERROR((ENTRI!C102)," ")</f>
        <v>05</v>
      </c>
      <c r="F102" s="219">
        <f t="shared" si="49"/>
        <v>86</v>
      </c>
      <c r="G102" s="219" t="str">
        <f>IFERROR((ENTRI!E102)," ")</f>
        <v>Guru</v>
      </c>
      <c r="H102" s="219" t="str">
        <f>IFERROR((ENTRI!F102)," ")</f>
        <v>01</v>
      </c>
      <c r="I102" s="219" t="str">
        <f>IFERROR((ENTRI!G102)," ")</f>
        <v xml:space="preserve">ABU SUJAK, S. Pd</v>
      </c>
      <c r="J102" s="219" t="str">
        <f>IFERROR((ENTRI!H102)," ")</f>
        <v xml:space="preserve">19861014  201307 05 01 42</v>
      </c>
      <c r="K102" s="219" t="str">
        <f>IFERROR((ENTRI!I102)," ")</f>
        <v>TRENGGALEK</v>
      </c>
      <c r="L102" s="219">
        <f>IFERROR((ENTRI!J102)," ")</f>
        <v>14</v>
      </c>
      <c r="M102" s="219">
        <f>IFERROR((ENTRI!K102)," ")</f>
        <v>10</v>
      </c>
      <c r="N102" s="219">
        <f>IFERROR((ENTRI!L102)," ")</f>
        <v>1986</v>
      </c>
      <c r="O102" s="219" t="str">
        <f t="shared" si="50"/>
        <v xml:space="preserve">TRENGGALEK, 14-10-1986</v>
      </c>
      <c r="P102" s="219">
        <f>IFERROR((ENTRI!N102)," ")</f>
        <v>15</v>
      </c>
      <c r="Q102" s="219" t="str">
        <f>IFERROR((ENTRI!O102)," ")</f>
        <v>07</v>
      </c>
      <c r="R102" s="219">
        <f>IFERROR((ENTRI!P102)," ")</f>
        <v>2013</v>
      </c>
      <c r="S102" s="219" t="str">
        <f t="shared" si="51"/>
        <v>15-07-2013</v>
      </c>
      <c r="T102" s="219">
        <f>IFERROR((ENTRI!Q102)," ")</f>
        <v>15</v>
      </c>
      <c r="U102" s="219" t="str">
        <f>IFERROR((ENTRI!R102)," ")</f>
        <v>07</v>
      </c>
      <c r="V102" s="219">
        <f>IFERROR((ENTRI!S102)," ")</f>
        <v>2013</v>
      </c>
      <c r="W102" s="219" t="str">
        <f t="shared" si="52"/>
        <v>15-07-2013</v>
      </c>
      <c r="X102" s="219">
        <f>IFERROR((ENTRI!T102)," ")</f>
        <v>12</v>
      </c>
      <c r="Y102" s="219">
        <f>IFERROR((ENTRI!U102)," ")</f>
        <v>12</v>
      </c>
      <c r="Z102" s="219">
        <f>IFERROR((ENTRI!V102)," ")</f>
        <v>12</v>
      </c>
      <c r="AA102" s="219">
        <f>IFERROR((ENTRI!W102)," ")</f>
        <v>12</v>
      </c>
      <c r="AB102" s="219" t="str">
        <f>IFERROR((ENTRI!X102)," ")</f>
        <v>S1</v>
      </c>
      <c r="AC102" s="219" t="str">
        <f>IFERROR((ENTRI!Y102)," ")</f>
        <v>PENJASKES</v>
      </c>
      <c r="AD102" s="219">
        <f>IFERROR((ENTRI!Z102)," ")</f>
        <v>2010</v>
      </c>
      <c r="AE102" s="219" t="str">
        <f>IFERROR((ENTRI!AA102)," ")</f>
        <v>BELUM</v>
      </c>
      <c r="AF102" s="219">
        <f>IFERROR((ENTRI!AB102)," ")</f>
        <v>0</v>
      </c>
      <c r="AG102" s="219" t="str">
        <f>IFERROR((ENTRI!AC102)," ")</f>
        <v xml:space="preserve"> </v>
      </c>
      <c r="AH102" s="219">
        <f>IFERROR((ENTRI!AD102)," ")</f>
        <v>0</v>
      </c>
      <c r="AI102" s="219" t="str">
        <f>IFERROR((ENTRI!AE102)," ")</f>
        <v>PENJASKES</v>
      </c>
      <c r="AJ102" s="219">
        <f>IFERROR((ENTRI!AF102)," ")</f>
        <v>8</v>
      </c>
      <c r="AK102" s="219" t="str">
        <f>IFERROR((ENTRI!AG102)," ")</f>
        <v>-</v>
      </c>
      <c r="AL102" s="219" t="str">
        <f>IFERROR((ENTRI!AH102)," ")</f>
        <v>-</v>
      </c>
      <c r="AM102" s="219" t="str">
        <f>IFERROR((ENTRI!AI102)," ")</f>
        <v xml:space="preserve"> </v>
      </c>
      <c r="AN102" s="219" t="str">
        <f>IFERROR((ENTRI!AJ102)," ")</f>
        <v>BELUM</v>
      </c>
      <c r="AO102" s="219">
        <f>IFERROR((ENTRI!AK102)," ")</f>
        <v>0</v>
      </c>
      <c r="AP102" s="219">
        <f>IFERROR((ENTRI!AL102)," ")</f>
        <v>0</v>
      </c>
      <c r="AQ102" s="219" t="str">
        <f>IFERROR((ENTRI!AM102)," ")</f>
        <v>20542487186001</v>
      </c>
      <c r="AR102" s="216" t="str">
        <f>E102&amp;"."&amp;H102&amp;"."&amp;AW102&amp;"."&amp;ENTRI!$E$4</f>
        <v>05.01.095.2025</v>
      </c>
      <c r="AS102" t="str">
        <f>"YPP.QH/KP.01."&amp;E102&amp;"/"&amp;AW102&amp;"/"&amp;ENTRI!$E$4</f>
        <v>YPP.QH/KP.01.05/095/2025</v>
      </c>
      <c r="AW102" s="277" t="s">
        <v>990</v>
      </c>
    </row>
    <row r="103">
      <c r="A103">
        <f t="shared" si="47"/>
        <v>105</v>
      </c>
      <c r="B103" s="276">
        <f t="shared" si="48"/>
        <v>2010</v>
      </c>
      <c r="C103" s="277">
        <v>96</v>
      </c>
      <c r="D103" s="219" t="str">
        <f>IFERROR(IF(ENTRI!B103=$AZ$9,$BA$9,IF(ENTRI!B103=$AZ$10,$BA$10,IF(ENTRI!B103=$AZ$11,$BA$11,IF(ENTRI!B103=$AZ$12,$BA$12,IF(ENTRI!B103=$AZ$13,$BA$13,IF(ENTRI!B103=$AZ$14,$BA$14,IF(ENTRI!B103=$AZ$15,$BA$15,IF(ENTRI!B103=$AZ$16,$BA$16,IF(ENTRI!B103=$AZ$17,$BA$17,IF(ENTRI!B103=$AZ$18,$BA$18," "))))))))))," ")</f>
        <v xml:space="preserve">MA Qomarul Hidayah</v>
      </c>
      <c r="E103" s="219" t="str">
        <f>IFERROR((ENTRI!C103)," ")</f>
        <v>05</v>
      </c>
      <c r="F103" s="219">
        <f t="shared" si="49"/>
        <v>105</v>
      </c>
      <c r="G103" s="219" t="str">
        <f>IFERROR((ENTRI!E103)," ")</f>
        <v xml:space="preserve">Tenaga Kependidikan</v>
      </c>
      <c r="H103" s="219" t="str">
        <f>IFERROR((ENTRI!F103)," ")</f>
        <v>02</v>
      </c>
      <c r="I103" s="219" t="str">
        <f>IFERROR((ENTRI!G103)," ")</f>
        <v xml:space="preserve">KHUSNUL KHOTIMAH</v>
      </c>
      <c r="J103" s="219" t="str">
        <f>IFERROR((ENTRI!H103)," ")</f>
        <v xml:space="preserve">19990706  201707 05 02 22</v>
      </c>
      <c r="K103" s="219" t="str">
        <f>IFERROR((ENTRI!I103)," ")</f>
        <v>TRENGGALEK</v>
      </c>
      <c r="L103" s="219" t="str">
        <f>IFERROR((ENTRI!J103)," ")</f>
        <v>06</v>
      </c>
      <c r="M103" s="219" t="str">
        <f>IFERROR((ENTRI!K103)," ")</f>
        <v>07</v>
      </c>
      <c r="N103" s="219">
        <f>IFERROR((ENTRI!L103)," ")</f>
        <v>1999</v>
      </c>
      <c r="O103" s="219" t="str">
        <f t="shared" si="50"/>
        <v xml:space="preserve">TRENGGALEK, 06-07-1999</v>
      </c>
      <c r="P103" s="219" t="str">
        <f>IFERROR((ENTRI!N103)," ")</f>
        <v>17</v>
      </c>
      <c r="Q103" s="219" t="str">
        <f>IFERROR((ENTRI!O103)," ")</f>
        <v>07</v>
      </c>
      <c r="R103" s="219">
        <f>IFERROR((ENTRI!P103)," ")</f>
        <v>2017</v>
      </c>
      <c r="S103" s="219" t="str">
        <f t="shared" si="51"/>
        <v>17-07-2017</v>
      </c>
      <c r="T103" s="219" t="str">
        <f>IFERROR((ENTRI!Q103)," ")</f>
        <v>17</v>
      </c>
      <c r="U103" s="219" t="str">
        <f>IFERROR((ENTRI!R103)," ")</f>
        <v>07</v>
      </c>
      <c r="V103" s="219">
        <f>IFERROR((ENTRI!S103)," ")</f>
        <v>2017</v>
      </c>
      <c r="W103" s="219" t="str">
        <f t="shared" si="52"/>
        <v>17-07-2017</v>
      </c>
      <c r="X103" s="219">
        <f>IFERROR((ENTRI!T103)," ")</f>
        <v>8</v>
      </c>
      <c r="Y103" s="219">
        <f>IFERROR((ENTRI!U103)," ")</f>
        <v>8</v>
      </c>
      <c r="Z103" s="219">
        <f>IFERROR((ENTRI!V103)," ")</f>
        <v>8</v>
      </c>
      <c r="AA103" s="219">
        <f>IFERROR((ENTRI!W103)," ")</f>
        <v>8</v>
      </c>
      <c r="AB103" s="219" t="str">
        <f>IFERROR((ENTRI!X103)," ")</f>
        <v>SLTA</v>
      </c>
      <c r="AC103" s="219" t="str">
        <f>IFERROR((ENTRI!Y103)," ")</f>
        <v>IPS</v>
      </c>
      <c r="AD103" s="219">
        <f>IFERROR((ENTRI!Z103)," ")</f>
        <v>0</v>
      </c>
      <c r="AE103" s="219" t="str">
        <f>IFERROR((ENTRI!AA103)," ")</f>
        <v>BELUM</v>
      </c>
      <c r="AF103" s="219">
        <f>IFERROR((ENTRI!AB103)," ")</f>
        <v>0</v>
      </c>
      <c r="AG103" s="219" t="str">
        <f>IFERROR((ENTRI!AC103)," ")</f>
        <v xml:space="preserve"> </v>
      </c>
      <c r="AH103" s="219">
        <f>IFERROR((ENTRI!AD103)," ")</f>
        <v>0</v>
      </c>
      <c r="AI103" s="219" t="str">
        <f>IFERROR((ENTRI!AE103)," ")</f>
        <v>SEJARAH</v>
      </c>
      <c r="AJ103" s="219">
        <f>IFERROR((ENTRI!AF103)," ")</f>
        <v>4</v>
      </c>
      <c r="AK103" s="219" t="str">
        <f>IFERROR((ENTRI!AG103)," ")</f>
        <v>-</v>
      </c>
      <c r="AL103" s="219" t="str">
        <f>IFERROR((ENTRI!AH103)," ")</f>
        <v>-</v>
      </c>
      <c r="AM103" s="219" t="str">
        <f>IFERROR((ENTRI!AI103)," ")</f>
        <v xml:space="preserve"> </v>
      </c>
      <c r="AN103" s="219" t="str">
        <f>IFERROR((ENTRI!AJ103)," ")</f>
        <v>BELUM</v>
      </c>
      <c r="AO103" s="219">
        <f>IFERROR((ENTRI!AK103)," ")</f>
        <v>0</v>
      </c>
      <c r="AP103" s="219">
        <f>IFERROR((ENTRI!AL103)," ")</f>
        <v>0</v>
      </c>
      <c r="AQ103" s="219" t="str">
        <f>IFERROR((ENTRI!AM103)," ")</f>
        <v>20542487187002</v>
      </c>
      <c r="AR103" s="216" t="str">
        <f>E103&amp;"."&amp;H103&amp;"."&amp;AW103&amp;"."&amp;ENTRI!$E$4</f>
        <v>05.02.096.2025</v>
      </c>
      <c r="AS103" t="str">
        <f>"YPP.QH/KP.01."&amp;E103&amp;"/"&amp;AW103&amp;"/"&amp;ENTRI!$E$4</f>
        <v>YPP.QH/KP.01.05/096/2025</v>
      </c>
      <c r="AW103" s="277" t="s">
        <v>991</v>
      </c>
    </row>
    <row r="104">
      <c r="A104">
        <f t="shared" ref="A104:A167" si="53">IF(B104=0," ",RANK(B104,$B$8:$B$178,1))</f>
        <v>82</v>
      </c>
      <c r="B104" s="276">
        <f t="shared" si="48"/>
        <v>2005</v>
      </c>
      <c r="C104" s="277">
        <v>97</v>
      </c>
      <c r="D104" s="219" t="str">
        <f>IFERROR(IF(ENTRI!B104=$AZ$9,$BA$9,IF(ENTRI!B104=$AZ$10,$BA$10,IF(ENTRI!B104=$AZ$11,$BA$11,IF(ENTRI!B104=$AZ$12,$BA$12,IF(ENTRI!B104=$AZ$13,$BA$13,IF(ENTRI!B104=$AZ$14,$BA$14,IF(ENTRI!B104=$AZ$15,$BA$15,IF(ENTRI!B104=$AZ$16,$BA$16,IF(ENTRI!B104=$AZ$17,$BA$17,IF(ENTRI!B104=$AZ$18,$BA$18," "))))))))))," ")</f>
        <v xml:space="preserve">SMK Qomarul Hidayah 1 Tugu</v>
      </c>
      <c r="E104" s="219" t="str">
        <f>IFERROR((ENTRI!C104)," ")</f>
        <v>06</v>
      </c>
      <c r="F104" s="219">
        <f t="shared" si="49"/>
        <v>82</v>
      </c>
      <c r="G104" s="219" t="str">
        <f>IFERROR((ENTRI!E104)," ")</f>
        <v>Guru</v>
      </c>
      <c r="H104" s="219" t="str">
        <f>IFERROR((ENTRI!F104)," ")</f>
        <v>01</v>
      </c>
      <c r="I104" s="219" t="str">
        <f>IFERROR((ENTRI!G104)," ")</f>
        <v xml:space="preserve">CANDRA EKO SAPUTRA,S.Pd</v>
      </c>
      <c r="J104" s="219" t="str">
        <f>IFERROR((ENTRI!H104)," ")</f>
        <v xml:space="preserve">19850820  201207 06 01 </v>
      </c>
      <c r="K104" s="219" t="str">
        <f>IFERROR((ENTRI!I104)," ")</f>
        <v>Trenggalek</v>
      </c>
      <c r="L104" s="219">
        <f>IFERROR((ENTRI!J104)," ")</f>
        <v>20</v>
      </c>
      <c r="M104" s="219" t="str">
        <f>IFERROR((ENTRI!K104)," ")</f>
        <v>08</v>
      </c>
      <c r="N104" s="219">
        <f>IFERROR((ENTRI!L104)," ")</f>
        <v>1985</v>
      </c>
      <c r="O104" s="219" t="str">
        <f t="shared" si="50"/>
        <v xml:space="preserve">Trenggalek, 20-08-1985</v>
      </c>
      <c r="P104" s="219">
        <f>IFERROR((ENTRI!N104)," ")</f>
        <v>1</v>
      </c>
      <c r="Q104" s="219" t="str">
        <f>IFERROR((ENTRI!O104)," ")</f>
        <v>07</v>
      </c>
      <c r="R104" s="219">
        <f>IFERROR((ENTRI!P104)," ")</f>
        <v>2012</v>
      </c>
      <c r="S104" s="219" t="str">
        <f t="shared" si="51"/>
        <v>1-07-2012</v>
      </c>
      <c r="T104" s="219" t="str">
        <f>IFERROR((ENTRI!Q104)," ")</f>
        <v>01</v>
      </c>
      <c r="U104" s="219" t="str">
        <f>IFERROR((ENTRI!R104)," ")</f>
        <v>07</v>
      </c>
      <c r="V104" s="219">
        <f>IFERROR((ENTRI!S104)," ")</f>
        <v>2012</v>
      </c>
      <c r="W104" s="219" t="str">
        <f t="shared" si="52"/>
        <v>01-07-2012</v>
      </c>
      <c r="X104" s="219">
        <f>IFERROR((ENTRI!T104)," ")</f>
        <v>13</v>
      </c>
      <c r="Y104" s="219">
        <f>IFERROR((ENTRI!U104)," ")</f>
        <v>13</v>
      </c>
      <c r="Z104" s="219">
        <f>IFERROR((ENTRI!V104)," ")</f>
        <v>13</v>
      </c>
      <c r="AA104" s="219">
        <f>IFERROR((ENTRI!W104)," ")</f>
        <v>13</v>
      </c>
      <c r="AB104" s="219" t="str">
        <f>IFERROR((ENTRI!X104)," ")</f>
        <v>S1</v>
      </c>
      <c r="AC104" s="219" t="str">
        <f>IFERROR((ENTRI!Y104)," ")</f>
        <v>Penjaskes</v>
      </c>
      <c r="AD104" s="219">
        <f>IFERROR((ENTRI!Z104)," ")</f>
        <v>0</v>
      </c>
      <c r="AE104" s="219">
        <f>IFERROR((ENTRI!AA104)," ")</f>
        <v>0</v>
      </c>
      <c r="AF104" s="219">
        <f>IFERROR((ENTRI!AB104)," ")</f>
        <v>0</v>
      </c>
      <c r="AG104" s="219">
        <f>IFERROR((ENTRI!AC104)," ")</f>
        <v>0</v>
      </c>
      <c r="AH104" s="219">
        <f>IFERROR((ENTRI!AD104)," ")</f>
        <v>0</v>
      </c>
      <c r="AI104" s="219">
        <f>IFERROR((ENTRI!AE104)," ")</f>
        <v>0</v>
      </c>
      <c r="AJ104" s="219">
        <f>IFERROR((ENTRI!AF104)," ")</f>
        <v>0</v>
      </c>
      <c r="AK104" s="219">
        <f>IFERROR((ENTRI!AG104)," ")</f>
        <v>0</v>
      </c>
      <c r="AL104" s="219">
        <f>IFERROR((ENTRI!AH104)," ")</f>
        <v>0</v>
      </c>
      <c r="AM104" s="219">
        <f>IFERROR((ENTRI!AI104)," ")</f>
        <v>0</v>
      </c>
      <c r="AN104" s="219">
        <f>IFERROR((ENTRI!AJ104)," ")</f>
        <v>0</v>
      </c>
      <c r="AO104" s="219">
        <f>IFERROR((ENTRI!AK104)," ")</f>
        <v>0</v>
      </c>
      <c r="AP104" s="219">
        <f>IFERROR((ENTRI!AL104)," ")</f>
        <v>0</v>
      </c>
      <c r="AQ104" s="219">
        <f>IFERROR((ENTRI!AM104)," ")</f>
        <v>0</v>
      </c>
      <c r="AR104" s="216" t="str">
        <f>E104&amp;"."&amp;H104&amp;"."&amp;AW104&amp;"."&amp;ENTRI!$E$4</f>
        <v>06.01.097.2025</v>
      </c>
      <c r="AS104" t="str">
        <f>"YPP.QH/KP.01."&amp;E104&amp;"/"&amp;AW104&amp;"/"&amp;ENTRI!$E$4</f>
        <v>YPP.QH/KP.01.06/097/2025</v>
      </c>
      <c r="AW104" s="277" t="s">
        <v>992</v>
      </c>
    </row>
    <row r="105">
      <c r="A105">
        <f t="shared" si="53"/>
        <v>75</v>
      </c>
      <c r="B105" s="276">
        <f t="shared" si="48"/>
        <v>2004</v>
      </c>
      <c r="C105" s="277">
        <v>98</v>
      </c>
      <c r="D105" s="219" t="str">
        <f>IFERROR(IF(ENTRI!B105=$AZ$9,$BA$9,IF(ENTRI!B105=$AZ$10,$BA$10,IF(ENTRI!B105=$AZ$11,$BA$11,IF(ENTRI!B105=$AZ$12,$BA$12,IF(ENTRI!B105=$AZ$13,$BA$13,IF(ENTRI!B105=$AZ$14,$BA$14,IF(ENTRI!B105=$AZ$15,$BA$15,IF(ENTRI!B105=$AZ$16,$BA$16,IF(ENTRI!B105=$AZ$17,$BA$17,IF(ENTRI!B105=$AZ$18,$BA$18," "))))))))))," ")</f>
        <v xml:space="preserve">SMK Qomarul Hidayah 1 Tugu</v>
      </c>
      <c r="E105" s="219" t="str">
        <f>IFERROR((ENTRI!C105)," ")</f>
        <v>06</v>
      </c>
      <c r="F105" s="219">
        <f t="shared" si="49"/>
        <v>75</v>
      </c>
      <c r="G105" s="219" t="str">
        <f>IFERROR((ENTRI!E105)," ")</f>
        <v>Guru</v>
      </c>
      <c r="H105" s="219" t="str">
        <f>IFERROR((ENTRI!F105)," ")</f>
        <v>01</v>
      </c>
      <c r="I105" s="219" t="str">
        <f>IFERROR((ENTRI!G105)," ")</f>
        <v xml:space="preserve">SYAFIUL MUAN'AN,S.Ag</v>
      </c>
      <c r="J105" s="219" t="str">
        <f>IFERROR((ENTRI!H105)," ")</f>
        <v xml:space="preserve">19760614  201006 06 01 10</v>
      </c>
      <c r="K105" s="219" t="str">
        <f>IFERROR((ENTRI!I105)," ")</f>
        <v>Trenggalek</v>
      </c>
      <c r="L105" s="219">
        <f>IFERROR((ENTRI!J105)," ")</f>
        <v>14</v>
      </c>
      <c r="M105" s="219" t="str">
        <f>IFERROR((ENTRI!K105)," ")</f>
        <v>06</v>
      </c>
      <c r="N105" s="219">
        <f>IFERROR((ENTRI!L105)," ")</f>
        <v>1976</v>
      </c>
      <c r="O105" s="219" t="str">
        <f t="shared" si="50"/>
        <v xml:space="preserve">Trenggalek, 14-06-1976</v>
      </c>
      <c r="P105" s="219">
        <f>IFERROR((ENTRI!N105)," ")</f>
        <v>12</v>
      </c>
      <c r="Q105" s="219" t="str">
        <f>IFERROR((ENTRI!O105)," ")</f>
        <v>06</v>
      </c>
      <c r="R105" s="219">
        <f>IFERROR((ENTRI!P105)," ")</f>
        <v>2010</v>
      </c>
      <c r="S105" s="219" t="str">
        <f t="shared" si="51"/>
        <v>12-06-2010</v>
      </c>
      <c r="T105" s="219">
        <f>IFERROR((ENTRI!Q105)," ")</f>
        <v>12</v>
      </c>
      <c r="U105" s="219" t="str">
        <f>IFERROR((ENTRI!R105)," ")</f>
        <v>06</v>
      </c>
      <c r="V105" s="219">
        <f>IFERROR((ENTRI!S105)," ")</f>
        <v>2010</v>
      </c>
      <c r="W105" s="219" t="str">
        <f t="shared" si="52"/>
        <v>12-06-2010</v>
      </c>
      <c r="X105" s="219">
        <f>IFERROR((ENTRI!T105)," ")</f>
        <v>15</v>
      </c>
      <c r="Y105" s="219">
        <f>IFERROR((ENTRI!U105)," ")</f>
        <v>15</v>
      </c>
      <c r="Z105" s="219">
        <f>IFERROR((ENTRI!V105)," ")</f>
        <v>15</v>
      </c>
      <c r="AA105" s="219">
        <f>IFERROR((ENTRI!W105)," ")</f>
        <v>15</v>
      </c>
      <c r="AB105" s="219" t="str">
        <f>IFERROR((ENTRI!X105)," ")</f>
        <v>S1</v>
      </c>
      <c r="AC105" s="219" t="str">
        <f>IFERROR((ENTRI!Y105)," ")</f>
        <v xml:space="preserve">Pendidikan Agama Islam</v>
      </c>
      <c r="AD105" s="219">
        <f>IFERROR((ENTRI!Z105)," ")</f>
        <v>0</v>
      </c>
      <c r="AE105" s="219">
        <f>IFERROR((ENTRI!AA105)," ")</f>
        <v>0</v>
      </c>
      <c r="AF105" s="219">
        <f>IFERROR((ENTRI!AB105)," ")</f>
        <v>0</v>
      </c>
      <c r="AG105" s="219">
        <f>IFERROR((ENTRI!AC105)," ")</f>
        <v>0</v>
      </c>
      <c r="AH105" s="219">
        <f>IFERROR((ENTRI!AD105)," ")</f>
        <v>0</v>
      </c>
      <c r="AI105" s="219">
        <f>IFERROR((ENTRI!AE105)," ")</f>
        <v>0</v>
      </c>
      <c r="AJ105" s="219">
        <f>IFERROR((ENTRI!AF105)," ")</f>
        <v>0</v>
      </c>
      <c r="AK105" s="219">
        <f>IFERROR((ENTRI!AG105)," ")</f>
        <v>0</v>
      </c>
      <c r="AL105" s="219">
        <f>IFERROR((ENTRI!AH105)," ")</f>
        <v>0</v>
      </c>
      <c r="AM105" s="219">
        <f>IFERROR((ENTRI!AI105)," ")</f>
        <v>0</v>
      </c>
      <c r="AN105" s="219">
        <f>IFERROR((ENTRI!AJ105)," ")</f>
        <v>0</v>
      </c>
      <c r="AO105" s="219">
        <f>IFERROR((ENTRI!AK105)," ")</f>
        <v>0</v>
      </c>
      <c r="AP105" s="219">
        <f>IFERROR((ENTRI!AL105)," ")</f>
        <v>0</v>
      </c>
      <c r="AQ105" s="219">
        <f>IFERROR((ENTRI!AM105)," ")</f>
        <v>0</v>
      </c>
      <c r="AR105" s="216" t="str">
        <f>E105&amp;"."&amp;H105&amp;"."&amp;AW105&amp;"."&amp;ENTRI!$E$4</f>
        <v>06.01.098.2025</v>
      </c>
      <c r="AS105" t="str">
        <f>"YPP.QH/KP.01."&amp;E105&amp;"/"&amp;AW105&amp;"/"&amp;ENTRI!$E$4</f>
        <v>YPP.QH/KP.01.06/098/2025</v>
      </c>
      <c r="AW105" s="277" t="s">
        <v>993</v>
      </c>
    </row>
    <row r="106">
      <c r="A106">
        <f t="shared" si="53"/>
        <v>75</v>
      </c>
      <c r="B106" s="276">
        <f t="shared" si="48"/>
        <v>2004</v>
      </c>
      <c r="C106" s="277">
        <v>99</v>
      </c>
      <c r="D106" s="219" t="str">
        <f>IFERROR(IF(ENTRI!B106=$AZ$9,$BA$9,IF(ENTRI!B106=$AZ$10,$BA$10,IF(ENTRI!B106=$AZ$11,$BA$11,IF(ENTRI!B106=$AZ$12,$BA$12,IF(ENTRI!B106=$AZ$13,$BA$13,IF(ENTRI!B106=$AZ$14,$BA$14,IF(ENTRI!B106=$AZ$15,$BA$15,IF(ENTRI!B106=$AZ$16,$BA$16,IF(ENTRI!B106=$AZ$17,$BA$17,IF(ENTRI!B106=$AZ$18,$BA$18," "))))))))))," ")</f>
        <v xml:space="preserve">SMK Qomarul Hidayah 1 Tugu</v>
      </c>
      <c r="E106" s="219" t="str">
        <f>IFERROR((ENTRI!C106)," ")</f>
        <v>06</v>
      </c>
      <c r="F106" s="219">
        <f t="shared" si="49"/>
        <v>75</v>
      </c>
      <c r="G106" s="219" t="str">
        <f>IFERROR((ENTRI!E106)," ")</f>
        <v>Guru</v>
      </c>
      <c r="H106" s="219" t="str">
        <f>IFERROR((ENTRI!F106)," ")</f>
        <v>01</v>
      </c>
      <c r="I106" s="219" t="str">
        <f>IFERROR((ENTRI!G106)," ")</f>
        <v xml:space="preserve">SAMSUL HADI, S.Pd.I</v>
      </c>
      <c r="J106" s="219" t="str">
        <f>IFERROR((ENTRI!H106)," ")</f>
        <v xml:space="preserve">19840615  201006 06 01 </v>
      </c>
      <c r="K106" s="219" t="str">
        <f>IFERROR((ENTRI!I106)," ")</f>
        <v>Trenggalek</v>
      </c>
      <c r="L106" s="219">
        <f>IFERROR((ENTRI!J106)," ")</f>
        <v>15</v>
      </c>
      <c r="M106" s="219" t="str">
        <f>IFERROR((ENTRI!K106)," ")</f>
        <v>06</v>
      </c>
      <c r="N106" s="219">
        <f>IFERROR((ENTRI!L106)," ")</f>
        <v>1984</v>
      </c>
      <c r="O106" s="219" t="str">
        <f t="shared" si="50"/>
        <v xml:space="preserve">Trenggalek, 15-06-1984</v>
      </c>
      <c r="P106" s="219">
        <f>IFERROR((ENTRI!N106)," ")</f>
        <v>12</v>
      </c>
      <c r="Q106" s="219" t="str">
        <f>IFERROR((ENTRI!O106)," ")</f>
        <v>06</v>
      </c>
      <c r="R106" s="219">
        <f>IFERROR((ENTRI!P106)," ")</f>
        <v>2010</v>
      </c>
      <c r="S106" s="219" t="str">
        <f t="shared" si="51"/>
        <v>12-06-2010</v>
      </c>
      <c r="T106" s="219">
        <f>IFERROR((ENTRI!Q106)," ")</f>
        <v>12</v>
      </c>
      <c r="U106" s="219" t="str">
        <f>IFERROR((ENTRI!R106)," ")</f>
        <v>06</v>
      </c>
      <c r="V106" s="219">
        <f>IFERROR((ENTRI!S106)," ")</f>
        <v>2010</v>
      </c>
      <c r="W106" s="219" t="str">
        <f t="shared" si="52"/>
        <v>12-06-2010</v>
      </c>
      <c r="X106" s="219">
        <f>IFERROR((ENTRI!T106)," ")</f>
        <v>15</v>
      </c>
      <c r="Y106" s="219">
        <f>IFERROR((ENTRI!U106)," ")</f>
        <v>15</v>
      </c>
      <c r="Z106" s="219">
        <f>IFERROR((ENTRI!V106)," ")</f>
        <v>15</v>
      </c>
      <c r="AA106" s="219">
        <f>IFERROR((ENTRI!W106)," ")</f>
        <v>15</v>
      </c>
      <c r="AB106" s="219" t="str">
        <f>IFERROR((ENTRI!X106)," ")</f>
        <v>S1</v>
      </c>
      <c r="AC106" s="219" t="str">
        <f>IFERROR((ENTRI!Y106)," ")</f>
        <v>PAI</v>
      </c>
      <c r="AD106" s="219">
        <f>IFERROR((ENTRI!Z106)," ")</f>
        <v>0</v>
      </c>
      <c r="AE106" s="219">
        <f>IFERROR((ENTRI!AA106)," ")</f>
        <v>0</v>
      </c>
      <c r="AF106" s="219">
        <f>IFERROR((ENTRI!AB106)," ")</f>
        <v>0</v>
      </c>
      <c r="AG106" s="219">
        <f>IFERROR((ENTRI!AC106)," ")</f>
        <v>0</v>
      </c>
      <c r="AH106" s="219">
        <f>IFERROR((ENTRI!AD106)," ")</f>
        <v>0</v>
      </c>
      <c r="AI106" s="219">
        <f>IFERROR((ENTRI!AE106)," ")</f>
        <v>0</v>
      </c>
      <c r="AJ106" s="219">
        <f>IFERROR((ENTRI!AF106)," ")</f>
        <v>0</v>
      </c>
      <c r="AK106" s="219">
        <f>IFERROR((ENTRI!AG106)," ")</f>
        <v>0</v>
      </c>
      <c r="AL106" s="219">
        <f>IFERROR((ENTRI!AH106)," ")</f>
        <v>0</v>
      </c>
      <c r="AM106" s="219">
        <f>IFERROR((ENTRI!AI106)," ")</f>
        <v>0</v>
      </c>
      <c r="AN106" s="219">
        <f>IFERROR((ENTRI!AJ106)," ")</f>
        <v>0</v>
      </c>
      <c r="AO106" s="219">
        <f>IFERROR((ENTRI!AK106)," ")</f>
        <v>0</v>
      </c>
      <c r="AP106" s="219">
        <f>IFERROR((ENTRI!AL106)," ")</f>
        <v>0</v>
      </c>
      <c r="AQ106" s="219">
        <f>IFERROR((ENTRI!AM106)," ")</f>
        <v>0</v>
      </c>
      <c r="AR106" s="216" t="str">
        <f>E106&amp;"."&amp;H106&amp;"."&amp;AW106&amp;"."&amp;ENTRI!$E$4</f>
        <v>06.01.099.2025</v>
      </c>
      <c r="AS106" t="str">
        <f>"YPP.QH/KP.01."&amp;E106&amp;"/"&amp;AW106&amp;"/"&amp;ENTRI!$E$4</f>
        <v>YPP.QH/KP.01.06/099/2025</v>
      </c>
      <c r="AW106" s="277" t="s">
        <v>994</v>
      </c>
    </row>
    <row r="107">
      <c r="A107">
        <f t="shared" si="53"/>
        <v>95</v>
      </c>
      <c r="B107" s="276">
        <f t="shared" si="48"/>
        <v>2007</v>
      </c>
      <c r="C107" s="277">
        <v>100</v>
      </c>
      <c r="D107" s="219" t="str">
        <f>IFERROR(IF(ENTRI!B107=$AZ$9,$BA$9,IF(ENTRI!B107=$AZ$10,$BA$10,IF(ENTRI!B107=$AZ$11,$BA$11,IF(ENTRI!B107=$AZ$12,$BA$12,IF(ENTRI!B107=$AZ$13,$BA$13,IF(ENTRI!B107=$AZ$14,$BA$14,IF(ENTRI!B107=$AZ$15,$BA$15,IF(ENTRI!B107=$AZ$16,$BA$16,IF(ENTRI!B107=$AZ$17,$BA$17,IF(ENTRI!B107=$AZ$18,$BA$18," "))))))))))," ")</f>
        <v xml:space="preserve">SMK Qomarul Hidayah 1 Tugu</v>
      </c>
      <c r="E107" s="219" t="str">
        <f>IFERROR((ENTRI!C107)," ")</f>
        <v>06</v>
      </c>
      <c r="F107" s="219">
        <f t="shared" si="49"/>
        <v>95</v>
      </c>
      <c r="G107" s="219" t="str">
        <f>IFERROR((ENTRI!E107)," ")</f>
        <v>Guru</v>
      </c>
      <c r="H107" s="219" t="str">
        <f>IFERROR((ENTRI!F107)," ")</f>
        <v>01</v>
      </c>
      <c r="I107" s="219" t="str">
        <f>IFERROR((ENTRI!G107)," ")</f>
        <v xml:space="preserve">IDA KUSWATININGSIH, S.Pd</v>
      </c>
      <c r="J107" s="219" t="str">
        <f>IFERROR((ENTRI!H107)," ")</f>
        <v xml:space="preserve">19671010  201407 06 01 41</v>
      </c>
      <c r="K107" s="219" t="str">
        <f>IFERROR((ENTRI!I107)," ")</f>
        <v>Trenggalek</v>
      </c>
      <c r="L107" s="219" t="str">
        <f>IFERROR((ENTRI!J107)," ")</f>
        <v>10</v>
      </c>
      <c r="M107" s="219" t="str">
        <f>IFERROR((ENTRI!K107)," ")</f>
        <v>10</v>
      </c>
      <c r="N107" s="219">
        <f>IFERROR((ENTRI!L107)," ")</f>
        <v>1967</v>
      </c>
      <c r="O107" s="219" t="str">
        <f t="shared" si="50"/>
        <v xml:space="preserve">Trenggalek, 10-10-1967</v>
      </c>
      <c r="P107" s="219" t="str">
        <f>IFERROR((ENTRI!N107)," ")</f>
        <v>16</v>
      </c>
      <c r="Q107" s="219" t="str">
        <f>IFERROR((ENTRI!O107)," ")</f>
        <v>07</v>
      </c>
      <c r="R107" s="219">
        <f>IFERROR((ENTRI!P107)," ")</f>
        <v>2014</v>
      </c>
      <c r="S107" s="219" t="str">
        <f t="shared" si="51"/>
        <v>16-07-2014</v>
      </c>
      <c r="T107" s="219" t="str">
        <f>IFERROR((ENTRI!Q107)," ")</f>
        <v>16</v>
      </c>
      <c r="U107" s="219" t="str">
        <f>IFERROR((ENTRI!R107)," ")</f>
        <v>07</v>
      </c>
      <c r="V107" s="219">
        <f>IFERROR((ENTRI!S107)," ")</f>
        <v>2014</v>
      </c>
      <c r="W107" s="219" t="str">
        <f t="shared" si="52"/>
        <v>16-07-2014</v>
      </c>
      <c r="X107" s="219">
        <f>IFERROR((ENTRI!T107)," ")</f>
        <v>11</v>
      </c>
      <c r="Y107" s="219">
        <f>IFERROR((ENTRI!U107)," ")</f>
        <v>11</v>
      </c>
      <c r="Z107" s="219">
        <f>IFERROR((ENTRI!V107)," ")</f>
        <v>11</v>
      </c>
      <c r="AA107" s="219">
        <f>IFERROR((ENTRI!W107)," ")</f>
        <v>11</v>
      </c>
      <c r="AB107" s="219" t="str">
        <f>IFERROR((ENTRI!X107)," ")</f>
        <v>S1</v>
      </c>
      <c r="AC107" s="219" t="str">
        <f>IFERROR((ENTRI!Y107)," ")</f>
        <v xml:space="preserve">Bahasa Indonesia</v>
      </c>
      <c r="AD107" s="219">
        <f>IFERROR((ENTRI!Z107)," ")</f>
        <v>0</v>
      </c>
      <c r="AE107" s="219">
        <f>IFERROR((ENTRI!AA107)," ")</f>
        <v>0</v>
      </c>
      <c r="AF107" s="219">
        <f>IFERROR((ENTRI!AB107)," ")</f>
        <v>0</v>
      </c>
      <c r="AG107" s="219">
        <f>IFERROR((ENTRI!AC107)," ")</f>
        <v>0</v>
      </c>
      <c r="AH107" s="219">
        <f>IFERROR((ENTRI!AD107)," ")</f>
        <v>0</v>
      </c>
      <c r="AI107" s="219">
        <f>IFERROR((ENTRI!AE107)," ")</f>
        <v>0</v>
      </c>
      <c r="AJ107" s="219">
        <f>IFERROR((ENTRI!AF107)," ")</f>
        <v>0</v>
      </c>
      <c r="AK107" s="219">
        <f>IFERROR((ENTRI!AG107)," ")</f>
        <v>0</v>
      </c>
      <c r="AL107" s="219">
        <f>IFERROR((ENTRI!AH107)," ")</f>
        <v>0</v>
      </c>
      <c r="AM107" s="219">
        <f>IFERROR((ENTRI!AI107)," ")</f>
        <v>0</v>
      </c>
      <c r="AN107" s="219">
        <f>IFERROR((ENTRI!AJ107)," ")</f>
        <v>0</v>
      </c>
      <c r="AO107" s="219">
        <f>IFERROR((ENTRI!AK107)," ")</f>
        <v>0</v>
      </c>
      <c r="AP107" s="219">
        <f>IFERROR((ENTRI!AL107)," ")</f>
        <v>0</v>
      </c>
      <c r="AQ107" s="219">
        <f>IFERROR((ENTRI!AM107)," ")</f>
        <v>0</v>
      </c>
      <c r="AR107" s="216" t="str">
        <f>E107&amp;"."&amp;H107&amp;"."&amp;AW107&amp;"."&amp;ENTRI!$E$4</f>
        <v>06.01.100.2025</v>
      </c>
      <c r="AS107" t="str">
        <f>"YPP.QH/KP.01."&amp;E107&amp;"/"&amp;AW107&amp;"/"&amp;ENTRI!$E$4</f>
        <v>YPP.QH/KP.01.06/100/2025</v>
      </c>
      <c r="AW107" s="277" t="s">
        <v>995</v>
      </c>
    </row>
    <row r="108">
      <c r="A108">
        <f t="shared" si="53"/>
        <v>100</v>
      </c>
      <c r="B108" s="276">
        <f t="shared" si="48"/>
        <v>2008</v>
      </c>
      <c r="C108" s="277">
        <v>101</v>
      </c>
      <c r="D108" s="219" t="str">
        <f>IFERROR(IF(ENTRI!B108=$AZ$9,$BA$9,IF(ENTRI!B108=$AZ$10,$BA$10,IF(ENTRI!B108=$AZ$11,$BA$11,IF(ENTRI!B108=$AZ$12,$BA$12,IF(ENTRI!B108=$AZ$13,$BA$13,IF(ENTRI!B108=$AZ$14,$BA$14,IF(ENTRI!B108=$AZ$15,$BA$15,IF(ENTRI!B108=$AZ$16,$BA$16,IF(ENTRI!B108=$AZ$17,$BA$17,IF(ENTRI!B108=$AZ$18,$BA$18," "))))))))))," ")</f>
        <v xml:space="preserve">SMK Qomarul Hidayah 1 Tugu</v>
      </c>
      <c r="E108" s="219" t="str">
        <f>IFERROR((ENTRI!C108)," ")</f>
        <v>06</v>
      </c>
      <c r="F108" s="219">
        <f t="shared" si="49"/>
        <v>100</v>
      </c>
      <c r="G108" s="219" t="str">
        <f>IFERROR((ENTRI!E108)," ")</f>
        <v>Guru</v>
      </c>
      <c r="H108" s="219" t="str">
        <f>IFERROR((ENTRI!F108)," ")</f>
        <v>01</v>
      </c>
      <c r="I108" s="219" t="str">
        <f>IFERROR((ENTRI!G108)," ")</f>
        <v xml:space="preserve">PUNGKI WIDI UTOMO, ST</v>
      </c>
      <c r="J108" s="219" t="str">
        <f>IFERROR((ENTRI!H108)," ")</f>
        <v xml:space="preserve">19910416  201507 06 01 54</v>
      </c>
      <c r="K108" s="219" t="str">
        <f>IFERROR((ENTRI!I108)," ")</f>
        <v>Trenggalek</v>
      </c>
      <c r="L108" s="219" t="str">
        <f>IFERROR((ENTRI!J108)," ")</f>
        <v>16</v>
      </c>
      <c r="M108" s="219" t="str">
        <f>IFERROR((ENTRI!K108)," ")</f>
        <v>04</v>
      </c>
      <c r="N108" s="219">
        <f>IFERROR((ENTRI!L108)," ")</f>
        <v>1991</v>
      </c>
      <c r="O108" s="219" t="str">
        <f t="shared" si="50"/>
        <v xml:space="preserve">Trenggalek, 16-04-1991</v>
      </c>
      <c r="P108" s="219" t="str">
        <f>IFERROR((ENTRI!N108)," ")</f>
        <v>18</v>
      </c>
      <c r="Q108" s="219" t="str">
        <f>IFERROR((ENTRI!O108)," ")</f>
        <v>07</v>
      </c>
      <c r="R108" s="219">
        <f>IFERROR((ENTRI!P108)," ")</f>
        <v>2015</v>
      </c>
      <c r="S108" s="219" t="str">
        <f t="shared" si="51"/>
        <v>18-07-2015</v>
      </c>
      <c r="T108" s="219" t="str">
        <f>IFERROR((ENTRI!Q108)," ")</f>
        <v>18</v>
      </c>
      <c r="U108" s="219" t="str">
        <f>IFERROR((ENTRI!R108)," ")</f>
        <v>07</v>
      </c>
      <c r="V108" s="219">
        <f>IFERROR((ENTRI!S108)," ")</f>
        <v>2015</v>
      </c>
      <c r="W108" s="219" t="str">
        <f t="shared" si="52"/>
        <v>18-07-2015</v>
      </c>
      <c r="X108" s="219">
        <f>IFERROR((ENTRI!T108)," ")</f>
        <v>10</v>
      </c>
      <c r="Y108" s="219">
        <f>IFERROR((ENTRI!U108)," ")</f>
        <v>10</v>
      </c>
      <c r="Z108" s="219">
        <f>IFERROR((ENTRI!V108)," ")</f>
        <v>10</v>
      </c>
      <c r="AA108" s="219">
        <f>IFERROR((ENTRI!W108)," ")</f>
        <v>10</v>
      </c>
      <c r="AB108" s="219" t="str">
        <f>IFERROR((ENTRI!X108)," ")</f>
        <v>S1</v>
      </c>
      <c r="AC108" s="219" t="str">
        <f>IFERROR((ENTRI!Y108)," ")</f>
        <v xml:space="preserve">Pendidikan Teknik Otomotif</v>
      </c>
      <c r="AD108" s="219">
        <f>IFERROR((ENTRI!Z108)," ")</f>
        <v>0</v>
      </c>
      <c r="AE108" s="219">
        <f>IFERROR((ENTRI!AA108)," ")</f>
        <v>0</v>
      </c>
      <c r="AF108" s="219">
        <f>IFERROR((ENTRI!AB108)," ")</f>
        <v>0</v>
      </c>
      <c r="AG108" s="219">
        <f>IFERROR((ENTRI!AC108)," ")</f>
        <v>0</v>
      </c>
      <c r="AH108" s="219">
        <f>IFERROR((ENTRI!AD108)," ")</f>
        <v>0</v>
      </c>
      <c r="AI108" s="219">
        <f>IFERROR((ENTRI!AE108)," ")</f>
        <v>0</v>
      </c>
      <c r="AJ108" s="219">
        <f>IFERROR((ENTRI!AF108)," ")</f>
        <v>0</v>
      </c>
      <c r="AK108" s="219">
        <f>IFERROR((ENTRI!AG108)," ")</f>
        <v>0</v>
      </c>
      <c r="AL108" s="219">
        <f>IFERROR((ENTRI!AH108)," ")</f>
        <v>0</v>
      </c>
      <c r="AM108" s="219">
        <f>IFERROR((ENTRI!AI108)," ")</f>
        <v>0</v>
      </c>
      <c r="AN108" s="219">
        <f>IFERROR((ENTRI!AJ108)," ")</f>
        <v>0</v>
      </c>
      <c r="AO108" s="219">
        <f>IFERROR((ENTRI!AK108)," ")</f>
        <v>0</v>
      </c>
      <c r="AP108" s="219">
        <f>IFERROR((ENTRI!AL108)," ")</f>
        <v>0</v>
      </c>
      <c r="AQ108" s="219">
        <f>IFERROR((ENTRI!AM108)," ")</f>
        <v>0</v>
      </c>
      <c r="AR108" s="216" t="str">
        <f>E108&amp;"."&amp;H108&amp;"."&amp;AW108&amp;"."&amp;ENTRI!$E$4</f>
        <v>06.01.101.2025</v>
      </c>
      <c r="AS108" t="str">
        <f>"YPP.QH/KP.01."&amp;E108&amp;"/"&amp;AW108&amp;"/"&amp;ENTRI!$E$4</f>
        <v>YPP.QH/KP.01.06/101/2025</v>
      </c>
      <c r="AW108" s="277" t="s">
        <v>996</v>
      </c>
    </row>
    <row r="109">
      <c r="A109">
        <f t="shared" si="53"/>
        <v>75</v>
      </c>
      <c r="B109" s="276">
        <f t="shared" si="48"/>
        <v>2004</v>
      </c>
      <c r="C109" s="277">
        <v>102</v>
      </c>
      <c r="D109" s="219" t="str">
        <f>IFERROR(IF(ENTRI!B109=$AZ$9,$BA$9,IF(ENTRI!B109=$AZ$10,$BA$10,IF(ENTRI!B109=$AZ$11,$BA$11,IF(ENTRI!B109=$AZ$12,$BA$12,IF(ENTRI!B109=$AZ$13,$BA$13,IF(ENTRI!B109=$AZ$14,$BA$14,IF(ENTRI!B109=$AZ$15,$BA$15,IF(ENTRI!B109=$AZ$16,$BA$16,IF(ENTRI!B109=$AZ$17,$BA$17,IF(ENTRI!B109=$AZ$18,$BA$18," "))))))))))," ")</f>
        <v xml:space="preserve">SMK Qomarul Hidayah 1 Tugu</v>
      </c>
      <c r="E109" s="219" t="str">
        <f>IFERROR((ENTRI!C109)," ")</f>
        <v>06</v>
      </c>
      <c r="F109" s="219">
        <f t="shared" si="49"/>
        <v>75</v>
      </c>
      <c r="G109" s="219" t="str">
        <f>IFERROR((ENTRI!E109)," ")</f>
        <v>Guru</v>
      </c>
      <c r="H109" s="219" t="str">
        <f>IFERROR((ENTRI!F109)," ")</f>
        <v>01</v>
      </c>
      <c r="I109" s="219" t="str">
        <f>IFERROR((ENTRI!G109)," ")</f>
        <v xml:space="preserve">SYAIFUL MUAN'AN,S.Ag</v>
      </c>
      <c r="J109" s="219" t="str">
        <f>IFERROR((ENTRI!H109)," ")</f>
        <v xml:space="preserve">19760614  201006 06 01 </v>
      </c>
      <c r="K109" s="219" t="str">
        <f>IFERROR((ENTRI!I109)," ")</f>
        <v>Trenggalek</v>
      </c>
      <c r="L109" s="219" t="str">
        <f>IFERROR((ENTRI!J109)," ")</f>
        <v>14</v>
      </c>
      <c r="M109" s="219" t="str">
        <f>IFERROR((ENTRI!K109)," ")</f>
        <v>06</v>
      </c>
      <c r="N109" s="219">
        <f>IFERROR((ENTRI!L109)," ")</f>
        <v>1976</v>
      </c>
      <c r="O109" s="219" t="str">
        <f t="shared" si="50"/>
        <v xml:space="preserve">Trenggalek, 14-06-1976</v>
      </c>
      <c r="P109" s="219" t="str">
        <f>IFERROR((ENTRI!N109)," ")</f>
        <v>12</v>
      </c>
      <c r="Q109" s="219" t="str">
        <f>IFERROR((ENTRI!O109)," ")</f>
        <v>06</v>
      </c>
      <c r="R109" s="219">
        <f>IFERROR((ENTRI!P109)," ")</f>
        <v>2010</v>
      </c>
      <c r="S109" s="219" t="str">
        <f t="shared" si="51"/>
        <v>12-06-2010</v>
      </c>
      <c r="T109" s="219" t="str">
        <f>IFERROR((ENTRI!Q109)," ")</f>
        <v>12</v>
      </c>
      <c r="U109" s="219" t="str">
        <f>IFERROR((ENTRI!R109)," ")</f>
        <v>06</v>
      </c>
      <c r="V109" s="219">
        <f>IFERROR((ENTRI!S109)," ")</f>
        <v>2010</v>
      </c>
      <c r="W109" s="219" t="str">
        <f t="shared" si="52"/>
        <v>12-06-2010</v>
      </c>
      <c r="X109" s="219">
        <f>IFERROR((ENTRI!T109)," ")</f>
        <v>15</v>
      </c>
      <c r="Y109" s="219">
        <f>IFERROR((ENTRI!U109)," ")</f>
        <v>15</v>
      </c>
      <c r="Z109" s="219">
        <f>IFERROR((ENTRI!V109)," ")</f>
        <v>15</v>
      </c>
      <c r="AA109" s="219">
        <f>IFERROR((ENTRI!W109)," ")</f>
        <v>15</v>
      </c>
      <c r="AB109" s="219" t="str">
        <f>IFERROR((ENTRI!X109)," ")</f>
        <v>S1</v>
      </c>
      <c r="AC109" s="219" t="str">
        <f>IFERROR((ENTRI!Y109)," ")</f>
        <v xml:space="preserve">Pendidikan Agama Islam</v>
      </c>
      <c r="AD109" s="219">
        <f>IFERROR((ENTRI!Z109)," ")</f>
        <v>0</v>
      </c>
      <c r="AE109" s="219">
        <f>IFERROR((ENTRI!AA109)," ")</f>
        <v>0</v>
      </c>
      <c r="AF109" s="219">
        <f>IFERROR((ENTRI!AB109)," ")</f>
        <v>0</v>
      </c>
      <c r="AG109" s="219">
        <f>IFERROR((ENTRI!AC109)," ")</f>
        <v>0</v>
      </c>
      <c r="AH109" s="219">
        <f>IFERROR((ENTRI!AD109)," ")</f>
        <v>0</v>
      </c>
      <c r="AI109" s="219">
        <f>IFERROR((ENTRI!AE109)," ")</f>
        <v>0</v>
      </c>
      <c r="AJ109" s="219">
        <f>IFERROR((ENTRI!AF109)," ")</f>
        <v>0</v>
      </c>
      <c r="AK109" s="219">
        <f>IFERROR((ENTRI!AG109)," ")</f>
        <v>0</v>
      </c>
      <c r="AL109" s="219">
        <f>IFERROR((ENTRI!AH109)," ")</f>
        <v>0</v>
      </c>
      <c r="AM109" s="219">
        <f>IFERROR((ENTRI!AI109)," ")</f>
        <v>0</v>
      </c>
      <c r="AN109" s="219">
        <f>IFERROR((ENTRI!AJ109)," ")</f>
        <v>0</v>
      </c>
      <c r="AO109" s="219">
        <f>IFERROR((ENTRI!AK109)," ")</f>
        <v>0</v>
      </c>
      <c r="AP109" s="219">
        <f>IFERROR((ENTRI!AL109)," ")</f>
        <v>0</v>
      </c>
      <c r="AQ109" s="219">
        <f>IFERROR((ENTRI!AM109)," ")</f>
        <v>0</v>
      </c>
      <c r="AR109" s="216" t="str">
        <f>E109&amp;"."&amp;H109&amp;"."&amp;AW109&amp;"."&amp;ENTRI!$E$4</f>
        <v>06.01.102.2025</v>
      </c>
      <c r="AS109" t="str">
        <f>"YPP.QH/KP.01."&amp;E109&amp;"/"&amp;AW109&amp;"/"&amp;ENTRI!$E$4</f>
        <v>YPP.QH/KP.01.06/102/2025</v>
      </c>
      <c r="AW109" s="277" t="s">
        <v>997</v>
      </c>
    </row>
    <row r="110">
      <c r="A110">
        <f t="shared" si="53"/>
        <v>100</v>
      </c>
      <c r="B110" s="276">
        <f t="shared" si="48"/>
        <v>2008</v>
      </c>
      <c r="C110" s="277">
        <v>103</v>
      </c>
      <c r="D110" s="219" t="str">
        <f>IFERROR(IF(ENTRI!B110=$AZ$9,$BA$9,IF(ENTRI!B110=$AZ$10,$BA$10,IF(ENTRI!B110=$AZ$11,$BA$11,IF(ENTRI!B110=$AZ$12,$BA$12,IF(ENTRI!B110=$AZ$13,$BA$13,IF(ENTRI!B110=$AZ$14,$BA$14,IF(ENTRI!B110=$AZ$15,$BA$15,IF(ENTRI!B110=$AZ$16,$BA$16,IF(ENTRI!B110=$AZ$17,$BA$17,IF(ENTRI!B110=$AZ$18,$BA$18," "))))))))))," ")</f>
        <v xml:space="preserve">SMK Qomarul Hidayah 2 Tugu</v>
      </c>
      <c r="E110" s="219" t="str">
        <f>IFERROR((ENTRI!C110)," ")</f>
        <v>07</v>
      </c>
      <c r="F110" s="219">
        <f t="shared" si="49"/>
        <v>100</v>
      </c>
      <c r="G110" s="219" t="str">
        <f>IFERROR((ENTRI!E110)," ")</f>
        <v>Guru</v>
      </c>
      <c r="H110" s="219" t="str">
        <f>IFERROR((ENTRI!F110)," ")</f>
        <v>01</v>
      </c>
      <c r="I110" s="219" t="str">
        <f>IFERROR((ENTRI!G110)," ")</f>
        <v xml:space="preserve">CRISTIANTI PURBA,S.Pd</v>
      </c>
      <c r="J110" s="219" t="str">
        <f>IFERROR((ENTRI!H110)," ")</f>
        <v xml:space="preserve">19860719  201507 07 01 57</v>
      </c>
      <c r="K110" s="219" t="str">
        <f>IFERROR((ENTRI!I110)," ")</f>
        <v>Trenggalek</v>
      </c>
      <c r="L110" s="219" t="str">
        <f>IFERROR((ENTRI!J110)," ")</f>
        <v>19</v>
      </c>
      <c r="M110" s="219" t="str">
        <f>IFERROR((ENTRI!K110)," ")</f>
        <v>07</v>
      </c>
      <c r="N110" s="219">
        <f>IFERROR((ENTRI!L110)," ")</f>
        <v>1986</v>
      </c>
      <c r="O110" s="219" t="str">
        <f t="shared" si="50"/>
        <v xml:space="preserve">Trenggalek, 19-07-1986</v>
      </c>
      <c r="P110" s="219" t="str">
        <f>IFERROR((ENTRI!N110)," ")</f>
        <v>21</v>
      </c>
      <c r="Q110" s="219" t="str">
        <f>IFERROR((ENTRI!O110)," ")</f>
        <v>07</v>
      </c>
      <c r="R110" s="219">
        <f>IFERROR((ENTRI!P110)," ")</f>
        <v>2015</v>
      </c>
      <c r="S110" s="219" t="str">
        <f t="shared" si="51"/>
        <v>21-07-2015</v>
      </c>
      <c r="T110" s="219" t="str">
        <f>IFERROR((ENTRI!Q110)," ")</f>
        <v>21</v>
      </c>
      <c r="U110" s="219" t="str">
        <f>IFERROR((ENTRI!R110)," ")</f>
        <v>07</v>
      </c>
      <c r="V110" s="219">
        <f>IFERROR((ENTRI!S110)," ")</f>
        <v>2015</v>
      </c>
      <c r="W110" s="219" t="str">
        <f t="shared" si="52"/>
        <v>21-07-2015</v>
      </c>
      <c r="X110" s="219">
        <f>IFERROR((ENTRI!T110)," ")</f>
        <v>10</v>
      </c>
      <c r="Y110" s="219">
        <f>IFERROR((ENTRI!U110)," ")</f>
        <v>10</v>
      </c>
      <c r="Z110" s="219">
        <f>IFERROR((ENTRI!V110)," ")</f>
        <v>10</v>
      </c>
      <c r="AA110" s="219">
        <f>IFERROR((ENTRI!W110)," ")</f>
        <v>10</v>
      </c>
      <c r="AB110" s="219" t="str">
        <f>IFERROR((ENTRI!X110)," ")</f>
        <v>S1</v>
      </c>
      <c r="AC110" s="219" t="str">
        <f>IFERROR((ENTRI!Y110)," ")</f>
        <v xml:space="preserve">Pendidikan Jasmani,Olahraga dan Kesehatan</v>
      </c>
      <c r="AD110" s="219">
        <f>IFERROR((ENTRI!Z110)," ")</f>
        <v>0</v>
      </c>
      <c r="AE110" s="219">
        <f>IFERROR((ENTRI!AA110)," ")</f>
        <v>0</v>
      </c>
      <c r="AF110" s="219">
        <f>IFERROR((ENTRI!AB110)," ")</f>
        <v>0</v>
      </c>
      <c r="AG110" s="219">
        <f>IFERROR((ENTRI!AC110)," ")</f>
        <v>0</v>
      </c>
      <c r="AH110" s="219">
        <f>IFERROR((ENTRI!AD110)," ")</f>
        <v>0</v>
      </c>
      <c r="AI110" s="219">
        <f>IFERROR((ENTRI!AE110)," ")</f>
        <v>0</v>
      </c>
      <c r="AJ110" s="219">
        <f>IFERROR((ENTRI!AF110)," ")</f>
        <v>0</v>
      </c>
      <c r="AK110" s="219">
        <f>IFERROR((ENTRI!AG110)," ")</f>
        <v>0</v>
      </c>
      <c r="AL110" s="219">
        <f>IFERROR((ENTRI!AH110)," ")</f>
        <v>0</v>
      </c>
      <c r="AM110" s="219">
        <f>IFERROR((ENTRI!AI110)," ")</f>
        <v>0</v>
      </c>
      <c r="AN110" s="219">
        <f>IFERROR((ENTRI!AJ110)," ")</f>
        <v>0</v>
      </c>
      <c r="AO110" s="219">
        <f>IFERROR((ENTRI!AK110)," ")</f>
        <v>0</v>
      </c>
      <c r="AP110" s="219">
        <f>IFERROR((ENTRI!AL110)," ")</f>
        <v>0</v>
      </c>
      <c r="AQ110" s="219">
        <f>IFERROR((ENTRI!AM110)," ")</f>
        <v>0</v>
      </c>
      <c r="AR110" s="216" t="str">
        <f>E110&amp;"."&amp;H110&amp;"."&amp;AW110&amp;"."&amp;ENTRI!$E$4</f>
        <v>07.01.103.2025</v>
      </c>
      <c r="AS110" t="str">
        <f>"YPP.QH/KP.01."&amp;E110&amp;"/"&amp;AW110&amp;"/"&amp;ENTRI!$E$4</f>
        <v>YPP.QH/KP.01.07/103/2025</v>
      </c>
      <c r="AW110" s="277" t="s">
        <v>998</v>
      </c>
    </row>
    <row r="111">
      <c r="A111">
        <f t="shared" si="53"/>
        <v>105</v>
      </c>
      <c r="B111" s="276">
        <f t="shared" si="48"/>
        <v>2010</v>
      </c>
      <c r="C111" s="277">
        <v>104</v>
      </c>
      <c r="D111" s="219" t="str">
        <f>IFERROR(IF(ENTRI!B111=$AZ$9,$BA$9,IF(ENTRI!B111=$AZ$10,$BA$10,IF(ENTRI!B111=$AZ$11,$BA$11,IF(ENTRI!B111=$AZ$12,$BA$12,IF(ENTRI!B111=$AZ$13,$BA$13,IF(ENTRI!B111=$AZ$14,$BA$14,IF(ENTRI!B111=$AZ$15,$BA$15,IF(ENTRI!B111=$AZ$16,$BA$16,IF(ENTRI!B111=$AZ$17,$BA$17,IF(ENTRI!B111=$AZ$18,$BA$18," "))))))))))," ")</f>
        <v xml:space="preserve">SMK Qomarul Hidayah 2 Tugu</v>
      </c>
      <c r="E111" s="219" t="str">
        <f>IFERROR((ENTRI!C111)," ")</f>
        <v>07</v>
      </c>
      <c r="F111" s="219">
        <f t="shared" si="49"/>
        <v>105</v>
      </c>
      <c r="G111" s="219" t="str">
        <f>IFERROR((ENTRI!E111)," ")</f>
        <v>Guru</v>
      </c>
      <c r="H111" s="219" t="str">
        <f>IFERROR((ENTRI!F111)," ")</f>
        <v>01</v>
      </c>
      <c r="I111" s="219" t="str">
        <f>IFERROR((ENTRI!G111)," ")</f>
        <v xml:space="preserve">AVRILAFITRIA NUR AINI</v>
      </c>
      <c r="J111" s="219" t="str">
        <f>IFERROR((ENTRI!H111)," ")</f>
        <v xml:space="preserve">19861026  201707 07 01 42</v>
      </c>
      <c r="K111" s="219" t="str">
        <f>IFERROR((ENTRI!I111)," ")</f>
        <v>Trenggalek</v>
      </c>
      <c r="L111" s="219" t="str">
        <f>IFERROR((ENTRI!J111)," ")</f>
        <v>26</v>
      </c>
      <c r="M111" s="219" t="str">
        <f>IFERROR((ENTRI!K111)," ")</f>
        <v>10</v>
      </c>
      <c r="N111" s="219">
        <f>IFERROR((ENTRI!L111)," ")</f>
        <v>1986</v>
      </c>
      <c r="O111" s="219" t="str">
        <f t="shared" si="50"/>
        <v xml:space="preserve">Trenggalek, 26-10-1986</v>
      </c>
      <c r="P111" s="219" t="str">
        <f>IFERROR((ENTRI!N111)," ")</f>
        <v>17</v>
      </c>
      <c r="Q111" s="219" t="str">
        <f>IFERROR((ENTRI!O111)," ")</f>
        <v>07</v>
      </c>
      <c r="R111" s="219">
        <f>IFERROR((ENTRI!P111)," ")</f>
        <v>2017</v>
      </c>
      <c r="S111" s="219" t="str">
        <f t="shared" si="51"/>
        <v>17-07-2017</v>
      </c>
      <c r="T111" s="219" t="str">
        <f>IFERROR((ENTRI!Q111)," ")</f>
        <v>17</v>
      </c>
      <c r="U111" s="219" t="str">
        <f>IFERROR((ENTRI!R111)," ")</f>
        <v>07</v>
      </c>
      <c r="V111" s="219">
        <f>IFERROR((ENTRI!S111)," ")</f>
        <v>2017</v>
      </c>
      <c r="W111" s="219" t="str">
        <f t="shared" si="52"/>
        <v>17-07-2017</v>
      </c>
      <c r="X111" s="219">
        <f>IFERROR((ENTRI!T111)," ")</f>
        <v>8</v>
      </c>
      <c r="Y111" s="219">
        <f>IFERROR((ENTRI!U111)," ")</f>
        <v>8</v>
      </c>
      <c r="Z111" s="219">
        <f>IFERROR((ENTRI!V111)," ")</f>
        <v>8</v>
      </c>
      <c r="AA111" s="219">
        <f>IFERROR((ENTRI!W111)," ")</f>
        <v>8</v>
      </c>
      <c r="AB111" s="219" t="str">
        <f>IFERROR((ENTRI!X111)," ")</f>
        <v>S1</v>
      </c>
      <c r="AC111" s="219" t="str">
        <f>IFERROR((ENTRI!Y111)," ")</f>
        <v xml:space="preserve">Teknik Komputer dan Jaringan</v>
      </c>
      <c r="AD111" s="219">
        <f>IFERROR((ENTRI!Z111)," ")</f>
        <v>0</v>
      </c>
      <c r="AE111" s="219">
        <f>IFERROR((ENTRI!AA111)," ")</f>
        <v>0</v>
      </c>
      <c r="AF111" s="219">
        <f>IFERROR((ENTRI!AB111)," ")</f>
        <v>0</v>
      </c>
      <c r="AG111" s="219">
        <f>IFERROR((ENTRI!AC111)," ")</f>
        <v>0</v>
      </c>
      <c r="AH111" s="219">
        <f>IFERROR((ENTRI!AD111)," ")</f>
        <v>0</v>
      </c>
      <c r="AI111" s="219">
        <f>IFERROR((ENTRI!AE111)," ")</f>
        <v>0</v>
      </c>
      <c r="AJ111" s="219">
        <f>IFERROR((ENTRI!AF111)," ")</f>
        <v>0</v>
      </c>
      <c r="AK111" s="219">
        <f>IFERROR((ENTRI!AG111)," ")</f>
        <v>0</v>
      </c>
      <c r="AL111" s="219">
        <f>IFERROR((ENTRI!AH111)," ")</f>
        <v>0</v>
      </c>
      <c r="AM111" s="219">
        <f>IFERROR((ENTRI!AI111)," ")</f>
        <v>0</v>
      </c>
      <c r="AN111" s="219">
        <f>IFERROR((ENTRI!AJ111)," ")</f>
        <v>0</v>
      </c>
      <c r="AO111" s="219">
        <f>IFERROR((ENTRI!AK111)," ")</f>
        <v>0</v>
      </c>
      <c r="AP111" s="219">
        <f>IFERROR((ENTRI!AL111)," ")</f>
        <v>0</v>
      </c>
      <c r="AQ111" s="219">
        <f>IFERROR((ENTRI!AM111)," ")</f>
        <v>0</v>
      </c>
      <c r="AR111" s="216" t="str">
        <f>E111&amp;"."&amp;H111&amp;"."&amp;AW111&amp;"."&amp;ENTRI!$E$4</f>
        <v>07.01.104.2025</v>
      </c>
      <c r="AS111" t="str">
        <f>"YPP.QH/KP.01."&amp;E111&amp;"/"&amp;AW111&amp;"/"&amp;ENTRI!$E$4</f>
        <v>YPP.QH/KP.01.07/104/2025</v>
      </c>
      <c r="AW111" s="277" t="s">
        <v>999</v>
      </c>
    </row>
    <row r="112">
      <c r="A112">
        <f t="shared" si="53"/>
        <v>109</v>
      </c>
      <c r="B112" s="276">
        <f t="shared" si="48"/>
        <v>2011</v>
      </c>
      <c r="C112" s="277">
        <v>105</v>
      </c>
      <c r="D112" s="219" t="str">
        <f>IFERROR(IF(ENTRI!B112=$AZ$9,$BA$9,IF(ENTRI!B112=$AZ$10,$BA$10,IF(ENTRI!B112=$AZ$11,$BA$11,IF(ENTRI!B112=$AZ$12,$BA$12,IF(ENTRI!B112=$AZ$13,$BA$13,IF(ENTRI!B112=$AZ$14,$BA$14,IF(ENTRI!B112=$AZ$15,$BA$15,IF(ENTRI!B112=$AZ$16,$BA$16,IF(ENTRI!B112=$AZ$17,$BA$17,IF(ENTRI!B112=$AZ$18,$BA$18," "))))))))))," ")</f>
        <v xml:space="preserve">SMK Qomarul Hidayah 2 Tugu</v>
      </c>
      <c r="E112" s="219" t="str">
        <f>IFERROR((ENTRI!C112)," ")</f>
        <v>07</v>
      </c>
      <c r="F112" s="219">
        <f t="shared" si="49"/>
        <v>109</v>
      </c>
      <c r="G112" s="219" t="str">
        <f>IFERROR((ENTRI!E112)," ")</f>
        <v>Guru</v>
      </c>
      <c r="H112" s="219" t="str">
        <f>IFERROR((ENTRI!F112)," ")</f>
        <v>01</v>
      </c>
      <c r="I112" s="219" t="str">
        <f>IFERROR((ENTRI!G112)," ")</f>
        <v xml:space="preserve">RISKA SULISTIANI,S.Pd</v>
      </c>
      <c r="J112" s="219" t="str">
        <f>IFERROR((ENTRI!H112)," ")</f>
        <v xml:space="preserve">19910718  201807 07 01 54</v>
      </c>
      <c r="K112" s="219" t="str">
        <f>IFERROR((ENTRI!I112)," ")</f>
        <v>Trenggalek</v>
      </c>
      <c r="L112" s="219" t="str">
        <f>IFERROR((ENTRI!J112)," ")</f>
        <v>18</v>
      </c>
      <c r="M112" s="219" t="str">
        <f>IFERROR((ENTRI!K112)," ")</f>
        <v>07</v>
      </c>
      <c r="N112" s="219">
        <f>IFERROR((ENTRI!L112)," ")</f>
        <v>1991</v>
      </c>
      <c r="O112" s="219" t="str">
        <f t="shared" si="50"/>
        <v xml:space="preserve">Trenggalek, 18-07-1991</v>
      </c>
      <c r="P112" s="219" t="str">
        <f>IFERROR((ENTRI!N112)," ")</f>
        <v>16</v>
      </c>
      <c r="Q112" s="219" t="str">
        <f>IFERROR((ENTRI!O112)," ")</f>
        <v>07</v>
      </c>
      <c r="R112" s="219">
        <f>IFERROR((ENTRI!P112)," ")</f>
        <v>2018</v>
      </c>
      <c r="S112" s="219" t="str">
        <f t="shared" si="51"/>
        <v>16-07-2018</v>
      </c>
      <c r="T112" s="219" t="str">
        <f>IFERROR((ENTRI!Q112)," ")</f>
        <v>16</v>
      </c>
      <c r="U112" s="219" t="str">
        <f>IFERROR((ENTRI!R112)," ")</f>
        <v>07</v>
      </c>
      <c r="V112" s="219">
        <f>IFERROR((ENTRI!S112)," ")</f>
        <v>2018</v>
      </c>
      <c r="W112" s="219" t="str">
        <f t="shared" si="52"/>
        <v>16-07-2018</v>
      </c>
      <c r="X112" s="219">
        <f>IFERROR((ENTRI!T112)," ")</f>
        <v>7</v>
      </c>
      <c r="Y112" s="219">
        <f>IFERROR((ENTRI!U112)," ")</f>
        <v>7</v>
      </c>
      <c r="Z112" s="219">
        <f>IFERROR((ENTRI!V112)," ")</f>
        <v>7</v>
      </c>
      <c r="AA112" s="219">
        <f>IFERROR((ENTRI!W112)," ")</f>
        <v>7</v>
      </c>
      <c r="AB112" s="219" t="str">
        <f>IFERROR((ENTRI!X112)," ")</f>
        <v>S1</v>
      </c>
      <c r="AC112" s="219" t="str">
        <f>IFERROR((ENTRI!Y112)," ")</f>
        <v xml:space="preserve">Pendidikan Matematika</v>
      </c>
      <c r="AD112" s="219">
        <f>IFERROR((ENTRI!Z112)," ")</f>
        <v>0</v>
      </c>
      <c r="AE112" s="219">
        <f>IFERROR((ENTRI!AA112)," ")</f>
        <v>0</v>
      </c>
      <c r="AF112" s="219">
        <f>IFERROR((ENTRI!AB112)," ")</f>
        <v>0</v>
      </c>
      <c r="AG112" s="219">
        <f>IFERROR((ENTRI!AC112)," ")</f>
        <v>0</v>
      </c>
      <c r="AH112" s="219">
        <f>IFERROR((ENTRI!AD112)," ")</f>
        <v>0</v>
      </c>
      <c r="AI112" s="219">
        <f>IFERROR((ENTRI!AE112)," ")</f>
        <v>0</v>
      </c>
      <c r="AJ112" s="219">
        <f>IFERROR((ENTRI!AF112)," ")</f>
        <v>0</v>
      </c>
      <c r="AK112" s="219">
        <f>IFERROR((ENTRI!AG112)," ")</f>
        <v>0</v>
      </c>
      <c r="AL112" s="219">
        <f>IFERROR((ENTRI!AH112)," ")</f>
        <v>0</v>
      </c>
      <c r="AM112" s="219">
        <f>IFERROR((ENTRI!AI112)," ")</f>
        <v>0</v>
      </c>
      <c r="AN112" s="219">
        <f>IFERROR((ENTRI!AJ112)," ")</f>
        <v>0</v>
      </c>
      <c r="AO112" s="219">
        <f>IFERROR((ENTRI!AK112)," ")</f>
        <v>0</v>
      </c>
      <c r="AP112" s="219">
        <f>IFERROR((ENTRI!AL112)," ")</f>
        <v>0</v>
      </c>
      <c r="AQ112" s="219">
        <f>IFERROR((ENTRI!AM112)," ")</f>
        <v>0</v>
      </c>
      <c r="AR112" s="216" t="str">
        <f>E112&amp;"."&amp;H112&amp;"."&amp;AW112&amp;"."&amp;ENTRI!$E$4</f>
        <v>07.01.105.2025</v>
      </c>
      <c r="AS112" t="str">
        <f>"YPP.QH/KP.01."&amp;E112&amp;"/"&amp;AW112&amp;"/"&amp;ENTRI!$E$4</f>
        <v>YPP.QH/KP.01.07/105/2025</v>
      </c>
      <c r="AW112" s="277" t="s">
        <v>1000</v>
      </c>
    </row>
    <row r="113">
      <c r="A113">
        <f t="shared" si="53"/>
        <v>105</v>
      </c>
      <c r="B113" s="276">
        <f t="shared" si="48"/>
        <v>2010</v>
      </c>
      <c r="C113" s="277">
        <v>106</v>
      </c>
      <c r="D113" s="219" t="str">
        <f>IFERROR(IF(ENTRI!B113=$AZ$9,$BA$9,IF(ENTRI!B113=$AZ$10,$BA$10,IF(ENTRI!B113=$AZ$11,$BA$11,IF(ENTRI!B113=$AZ$12,$BA$12,IF(ENTRI!B113=$AZ$13,$BA$13,IF(ENTRI!B113=$AZ$14,$BA$14,IF(ENTRI!B113=$AZ$15,$BA$15,IF(ENTRI!B113=$AZ$16,$BA$16,IF(ENTRI!B113=$AZ$17,$BA$17,IF(ENTRI!B113=$AZ$18,$BA$18," "))))))))))," ")</f>
        <v xml:space="preserve">SMK Qomarul Hidayah 2 Tugu</v>
      </c>
      <c r="E113" s="219" t="str">
        <f>IFERROR((ENTRI!C113)," ")</f>
        <v>07</v>
      </c>
      <c r="F113" s="219">
        <f t="shared" si="49"/>
        <v>105</v>
      </c>
      <c r="G113" s="219" t="str">
        <f>IFERROR((ENTRI!E113)," ")</f>
        <v>Guru</v>
      </c>
      <c r="H113" s="219" t="str">
        <f>IFERROR((ENTRI!F113)," ")</f>
        <v>01</v>
      </c>
      <c r="I113" s="219" t="str">
        <f>IFERROR((ENTRI!G113)," ")</f>
        <v xml:space="preserve">                                                                                                                                       </v>
      </c>
      <c r="J113" s="219" t="str">
        <f>IFERROR((ENTRI!H113)," ")</f>
        <v xml:space="preserve">19920323  201707 07 01 </v>
      </c>
      <c r="K113" s="219" t="str">
        <f>IFERROR((ENTRI!I113)," ")</f>
        <v>Kediri</v>
      </c>
      <c r="L113" s="219" t="str">
        <f>IFERROR((ENTRI!J113)," ")</f>
        <v>23</v>
      </c>
      <c r="M113" s="219" t="str">
        <f>IFERROR((ENTRI!K113)," ")</f>
        <v>03</v>
      </c>
      <c r="N113" s="219">
        <f>IFERROR((ENTRI!L113)," ")</f>
        <v>1992</v>
      </c>
      <c r="O113" s="219" t="str">
        <f t="shared" si="50"/>
        <v xml:space="preserve">Kediri, 23-03-1992</v>
      </c>
      <c r="P113" s="219" t="str">
        <f>IFERROR((ENTRI!N113)," ")</f>
        <v>17</v>
      </c>
      <c r="Q113" s="219" t="str">
        <f>IFERROR((ENTRI!O113)," ")</f>
        <v>07</v>
      </c>
      <c r="R113" s="219">
        <f>IFERROR((ENTRI!P113)," ")</f>
        <v>2017</v>
      </c>
      <c r="S113" s="219" t="str">
        <f t="shared" si="51"/>
        <v>17-07-2017</v>
      </c>
      <c r="T113" s="219" t="str">
        <f>IFERROR((ENTRI!Q113)," ")</f>
        <v>17</v>
      </c>
      <c r="U113" s="219" t="str">
        <f>IFERROR((ENTRI!R113)," ")</f>
        <v>07</v>
      </c>
      <c r="V113" s="219">
        <f>IFERROR((ENTRI!S113)," ")</f>
        <v>2017</v>
      </c>
      <c r="W113" s="219" t="str">
        <f t="shared" si="52"/>
        <v>17-07-2017</v>
      </c>
      <c r="X113" s="219">
        <f>IFERROR((ENTRI!T113)," ")</f>
        <v>8</v>
      </c>
      <c r="Y113" s="219">
        <f>IFERROR((ENTRI!U113)," ")</f>
        <v>8</v>
      </c>
      <c r="Z113" s="219">
        <f>IFERROR((ENTRI!V113)," ")</f>
        <v>8</v>
      </c>
      <c r="AA113" s="219">
        <f>IFERROR((ENTRI!W113)," ")</f>
        <v>8</v>
      </c>
      <c r="AB113" s="219" t="str">
        <f>IFERROR((ENTRI!X113)," ")</f>
        <v>S1</v>
      </c>
      <c r="AC113" s="219" t="str">
        <f>IFERROR((ENTRI!Y113)," ")</f>
        <v xml:space="preserve">Teknologi Industri</v>
      </c>
      <c r="AD113" s="219">
        <f>IFERROR((ENTRI!Z113)," ")</f>
        <v>0</v>
      </c>
      <c r="AE113" s="219">
        <f>IFERROR((ENTRI!AA113)," ")</f>
        <v>0</v>
      </c>
      <c r="AF113" s="219">
        <f>IFERROR((ENTRI!AB113)," ")</f>
        <v>0</v>
      </c>
      <c r="AG113" s="219">
        <f>IFERROR((ENTRI!AC113)," ")</f>
        <v>0</v>
      </c>
      <c r="AH113" s="219">
        <f>IFERROR((ENTRI!AD113)," ")</f>
        <v>0</v>
      </c>
      <c r="AI113" s="219">
        <f>IFERROR((ENTRI!AE113)," ")</f>
        <v>0</v>
      </c>
      <c r="AJ113" s="219">
        <f>IFERROR((ENTRI!AF113)," ")</f>
        <v>0</v>
      </c>
      <c r="AK113" s="219">
        <f>IFERROR((ENTRI!AG113)," ")</f>
        <v>0</v>
      </c>
      <c r="AL113" s="219">
        <f>IFERROR((ENTRI!AH113)," ")</f>
        <v>0</v>
      </c>
      <c r="AM113" s="219">
        <f>IFERROR((ENTRI!AI113)," ")</f>
        <v>0</v>
      </c>
      <c r="AN113" s="219">
        <f>IFERROR((ENTRI!AJ113)," ")</f>
        <v>0</v>
      </c>
      <c r="AO113" s="219">
        <f>IFERROR((ENTRI!AK113)," ")</f>
        <v>0</v>
      </c>
      <c r="AP113" s="219">
        <f>IFERROR((ENTRI!AL113)," ")</f>
        <v>0</v>
      </c>
      <c r="AQ113" s="219">
        <f>IFERROR((ENTRI!AM113)," ")</f>
        <v>0</v>
      </c>
      <c r="AR113" s="216" t="str">
        <f>E113&amp;"."&amp;H113&amp;"."&amp;AW113&amp;"."&amp;ENTRI!$E$4</f>
        <v>07.01.106.2025</v>
      </c>
      <c r="AS113" t="str">
        <f>"YPP.QH/KP.01."&amp;E113&amp;"/"&amp;AW113&amp;"/"&amp;ENTRI!$E$4</f>
        <v>YPP.QH/KP.01.07/106/2025</v>
      </c>
      <c r="AW113" s="277" t="s">
        <v>1001</v>
      </c>
    </row>
    <row r="114">
      <c r="A114">
        <f t="shared" si="53"/>
        <v>112</v>
      </c>
      <c r="B114" s="276">
        <f t="shared" si="48"/>
        <v>2016</v>
      </c>
      <c r="C114" s="277">
        <v>107</v>
      </c>
      <c r="D114" s="219" t="str">
        <f>IFERROR(IF(ENTRI!B114=$AZ$9,$BA$9,IF(ENTRI!B114=$AZ$10,$BA$10,IF(ENTRI!B114=$AZ$11,$BA$11,IF(ENTRI!B114=$AZ$12,$BA$12,IF(ENTRI!B114=$AZ$13,$BA$13,IF(ENTRI!B114=$AZ$14,$BA$14,IF(ENTRI!B114=$AZ$15,$BA$15,IF(ENTRI!B114=$AZ$16,$BA$16,IF(ENTRI!B114=$AZ$17,$BA$17,IF(ENTRI!B114=$AZ$18,$BA$18," "))))))))))," ")</f>
        <v xml:space="preserve">SMK Qomarul Hidayah 2 Tugu</v>
      </c>
      <c r="E114" s="219" t="str">
        <f>IFERROR((ENTRI!C114)," ")</f>
        <v>07</v>
      </c>
      <c r="F114" s="219">
        <f t="shared" si="49"/>
        <v>112</v>
      </c>
      <c r="G114" s="219" t="str">
        <f>IFERROR((ENTRI!E114)," ")</f>
        <v>Guru</v>
      </c>
      <c r="H114" s="219" t="str">
        <f>IFERROR((ENTRI!F114)," ")</f>
        <v>01</v>
      </c>
      <c r="I114" s="219" t="str">
        <f>IFERROR((ENTRI!G114)," ")</f>
        <v xml:space="preserve">AURA RORO RIF'ANING AGNA, S.Pd.</v>
      </c>
      <c r="J114" s="219" t="str">
        <f>IFERROR((ENTRI!H114)," ")</f>
        <v xml:space="preserve">20010517  202307 07 01 17</v>
      </c>
      <c r="K114" s="219" t="str">
        <f>IFERROR((ENTRI!I114)," ")</f>
        <v>Trenggalek</v>
      </c>
      <c r="L114" s="219" t="str">
        <f>IFERROR((ENTRI!J114)," ")</f>
        <v>17</v>
      </c>
      <c r="M114" s="219" t="str">
        <f>IFERROR((ENTRI!K114)," ")</f>
        <v>05</v>
      </c>
      <c r="N114" s="219">
        <f>IFERROR((ENTRI!L114)," ")</f>
        <v>2001</v>
      </c>
      <c r="O114" s="219" t="str">
        <f t="shared" si="50"/>
        <v xml:space="preserve">Trenggalek, 17-05-2001</v>
      </c>
      <c r="P114" s="219" t="str">
        <f>IFERROR((ENTRI!N114)," ")</f>
        <v>17</v>
      </c>
      <c r="Q114" s="219" t="str">
        <f>IFERROR((ENTRI!O114)," ")</f>
        <v>07</v>
      </c>
      <c r="R114" s="219">
        <f>IFERROR((ENTRI!P114)," ")</f>
        <v>2023</v>
      </c>
      <c r="S114" s="219" t="str">
        <f t="shared" si="51"/>
        <v>17-07-2023</v>
      </c>
      <c r="T114" s="219" t="str">
        <f>IFERROR((ENTRI!Q114)," ")</f>
        <v>17</v>
      </c>
      <c r="U114" s="219" t="str">
        <f>IFERROR((ENTRI!R114)," ")</f>
        <v>07</v>
      </c>
      <c r="V114" s="219">
        <f>IFERROR((ENTRI!S114)," ")</f>
        <v>2023</v>
      </c>
      <c r="W114" s="219" t="str">
        <f t="shared" si="52"/>
        <v>17-07-2023</v>
      </c>
      <c r="X114" s="219">
        <f>IFERROR((ENTRI!T114)," ")</f>
        <v>2</v>
      </c>
      <c r="Y114" s="219">
        <f>IFERROR((ENTRI!U114)," ")</f>
        <v>2</v>
      </c>
      <c r="Z114" s="219">
        <f>IFERROR((ENTRI!V114)," ")</f>
        <v>2</v>
      </c>
      <c r="AA114" s="219">
        <f>IFERROR((ENTRI!W114)," ")</f>
        <v>2</v>
      </c>
      <c r="AB114" s="219" t="str">
        <f>IFERROR((ENTRI!X114)," ")</f>
        <v>S1</v>
      </c>
      <c r="AC114" s="219" t="str">
        <f>IFERROR((ENTRI!Y114)," ")</f>
        <v xml:space="preserve">Bahasa Inggris</v>
      </c>
      <c r="AD114" s="219">
        <f>IFERROR((ENTRI!Z114)," ")</f>
        <v>0</v>
      </c>
      <c r="AE114" s="219">
        <f>IFERROR((ENTRI!AA114)," ")</f>
        <v>0</v>
      </c>
      <c r="AF114" s="219">
        <f>IFERROR((ENTRI!AB114)," ")</f>
        <v>0</v>
      </c>
      <c r="AG114" s="219">
        <f>IFERROR((ENTRI!AC114)," ")</f>
        <v>0</v>
      </c>
      <c r="AH114" s="219">
        <f>IFERROR((ENTRI!AD114)," ")</f>
        <v>0</v>
      </c>
      <c r="AI114" s="219">
        <f>IFERROR((ENTRI!AE114)," ")</f>
        <v>0</v>
      </c>
      <c r="AJ114" s="219">
        <f>IFERROR((ENTRI!AF114)," ")</f>
        <v>0</v>
      </c>
      <c r="AK114" s="219">
        <f>IFERROR((ENTRI!AG114)," ")</f>
        <v>0</v>
      </c>
      <c r="AL114" s="219">
        <f>IFERROR((ENTRI!AH114)," ")</f>
        <v>0</v>
      </c>
      <c r="AM114" s="219">
        <f>IFERROR((ENTRI!AI114)," ")</f>
        <v>0</v>
      </c>
      <c r="AN114" s="219">
        <f>IFERROR((ENTRI!AJ114)," ")</f>
        <v>0</v>
      </c>
      <c r="AO114" s="219">
        <f>IFERROR((ENTRI!AK114)," ")</f>
        <v>0</v>
      </c>
      <c r="AP114" s="219">
        <f>IFERROR((ENTRI!AL114)," ")</f>
        <v>0</v>
      </c>
      <c r="AQ114" s="219">
        <f>IFERROR((ENTRI!AM114)," ")</f>
        <v>0</v>
      </c>
      <c r="AR114" s="216" t="str">
        <f>E114&amp;"."&amp;H114&amp;"."&amp;AW114&amp;"."&amp;ENTRI!$E$4</f>
        <v>07.01.107.2025</v>
      </c>
      <c r="AS114" t="str">
        <f>"YPP.QH/KP.01."&amp;E114&amp;"/"&amp;AW114&amp;"/"&amp;ENTRI!$E$4</f>
        <v>YPP.QH/KP.01.07/107/2025</v>
      </c>
      <c r="AW114" s="277" t="s">
        <v>1002</v>
      </c>
    </row>
    <row r="115">
      <c r="A115">
        <f t="shared" si="53"/>
        <v>103</v>
      </c>
      <c r="B115" s="276">
        <f t="shared" ref="B115:B118" si="54">R115-Q115</f>
        <v>2009</v>
      </c>
      <c r="C115" s="277">
        <v>108</v>
      </c>
      <c r="D115" s="219" t="str">
        <f>IFERROR(IF(ENTRI!B115=$AZ$9,$BA$9,IF(ENTRI!B115=$AZ$10,$BA$10,IF(ENTRI!B115=$AZ$11,$BA$11,IF(ENTRI!B115=$AZ$12,$BA$12,IF(ENTRI!B115=$AZ$13,$BA$13,IF(ENTRI!B115=$AZ$14,$BA$14,IF(ENTRI!B115=$AZ$15,$BA$15,IF(ENTRI!B115=$AZ$16,$BA$16,IF(ENTRI!B115=$AZ$17,$BA$17,IF(ENTRI!B115=$AZ$18,$BA$18," "))))))))))," ")</f>
        <v xml:space="preserve">SMK Qomarul Hidayah 2 Tugu</v>
      </c>
      <c r="E115" s="219" t="str">
        <f>IFERROR((ENTRI!C115)," ")</f>
        <v>07</v>
      </c>
      <c r="F115" s="219">
        <f t="shared" si="49"/>
        <v>103</v>
      </c>
      <c r="G115" s="219" t="str">
        <f>IFERROR((ENTRI!E115)," ")</f>
        <v>Guru</v>
      </c>
      <c r="H115" s="219" t="str">
        <f>IFERROR((ENTRI!F115)," ")</f>
        <v>01</v>
      </c>
      <c r="I115" s="219" t="str">
        <f>IFERROR((ENTRI!G115)," ")</f>
        <v xml:space="preserve">MUHAMMAD OKI MABRURI, S.Pd.</v>
      </c>
      <c r="J115" s="219" t="str">
        <f>IFERROR((ENTRI!H115)," ")</f>
        <v xml:space="preserve">19970321  201607 07 01 59</v>
      </c>
      <c r="K115" s="219" t="str">
        <f>IFERROR((ENTRI!I115)," ")</f>
        <v>Trenggalek</v>
      </c>
      <c r="L115" s="219" t="str">
        <f>IFERROR((ENTRI!J115)," ")</f>
        <v>21</v>
      </c>
      <c r="M115" s="219" t="str">
        <f>IFERROR((ENTRI!K115)," ")</f>
        <v>03</v>
      </c>
      <c r="N115" s="219">
        <f>IFERROR((ENTRI!L115)," ")</f>
        <v>1997</v>
      </c>
      <c r="O115" s="219" t="str">
        <f t="shared" si="50"/>
        <v xml:space="preserve">Trenggalek, 21-03-1997</v>
      </c>
      <c r="P115" s="219" t="str">
        <f>IFERROR((ENTRI!N115)," ")</f>
        <v>17</v>
      </c>
      <c r="Q115" s="219" t="str">
        <f>IFERROR((ENTRI!O115)," ")</f>
        <v>07</v>
      </c>
      <c r="R115" s="219">
        <f>IFERROR((ENTRI!P115)," ")</f>
        <v>2016</v>
      </c>
      <c r="S115" s="219" t="str">
        <f t="shared" si="51"/>
        <v>17-07-2016</v>
      </c>
      <c r="T115" s="219" t="str">
        <f>IFERROR((ENTRI!Q115)," ")</f>
        <v>17</v>
      </c>
      <c r="U115" s="219" t="str">
        <f>IFERROR((ENTRI!R115)," ")</f>
        <v>07</v>
      </c>
      <c r="V115" s="219">
        <f>IFERROR((ENTRI!S115)," ")</f>
        <v>2016</v>
      </c>
      <c r="W115" s="219" t="str">
        <f t="shared" si="52"/>
        <v>17-07-2016</v>
      </c>
      <c r="X115" s="219">
        <f>IFERROR((ENTRI!T115)," ")</f>
        <v>9</v>
      </c>
      <c r="Y115" s="219">
        <f>IFERROR((ENTRI!U115)," ")</f>
        <v>9</v>
      </c>
      <c r="Z115" s="219">
        <f>IFERROR((ENTRI!V115)," ")</f>
        <v>9</v>
      </c>
      <c r="AA115" s="219">
        <f>IFERROR((ENTRI!W115)," ")</f>
        <v>9</v>
      </c>
      <c r="AB115" s="219" t="str">
        <f>IFERROR((ENTRI!X115)," ")</f>
        <v>S1</v>
      </c>
      <c r="AC115" s="219" t="str">
        <f>IFERROR((ENTRI!Y115)," ")</f>
        <v xml:space="preserve">Pendidikan Agama Islam</v>
      </c>
      <c r="AD115" s="219">
        <f>IFERROR((ENTRI!Z115)," ")</f>
        <v>0</v>
      </c>
      <c r="AE115" s="219">
        <f>IFERROR((ENTRI!AA115)," ")</f>
        <v>0</v>
      </c>
      <c r="AF115" s="219">
        <f>IFERROR((ENTRI!AB115)," ")</f>
        <v>0</v>
      </c>
      <c r="AG115" s="219">
        <f>IFERROR((ENTRI!AC115)," ")</f>
        <v>0</v>
      </c>
      <c r="AH115" s="219">
        <f>IFERROR((ENTRI!AD115)," ")</f>
        <v>0</v>
      </c>
      <c r="AI115" s="219">
        <f>IFERROR((ENTRI!AE115)," ")</f>
        <v>0</v>
      </c>
      <c r="AJ115" s="219">
        <f>IFERROR((ENTRI!AF115)," ")</f>
        <v>0</v>
      </c>
      <c r="AK115" s="219">
        <f>IFERROR((ENTRI!AG115)," ")</f>
        <v>0</v>
      </c>
      <c r="AL115" s="219">
        <f>IFERROR((ENTRI!AH115)," ")</f>
        <v>0</v>
      </c>
      <c r="AM115" s="219">
        <f>IFERROR((ENTRI!AI115)," ")</f>
        <v>0</v>
      </c>
      <c r="AN115" s="219">
        <f>IFERROR((ENTRI!AJ115)," ")</f>
        <v>0</v>
      </c>
      <c r="AO115" s="219">
        <f>IFERROR((ENTRI!AK115)," ")</f>
        <v>0</v>
      </c>
      <c r="AP115" s="219">
        <f>IFERROR((ENTRI!AL115)," ")</f>
        <v>0</v>
      </c>
      <c r="AQ115" s="219">
        <f>IFERROR((ENTRI!AM115)," ")</f>
        <v>0</v>
      </c>
      <c r="AR115" s="216" t="str">
        <f>E115&amp;"."&amp;H115&amp;"."&amp;AW115&amp;"."&amp;ENTRI!$E$4</f>
        <v>07.01.108.2025</v>
      </c>
      <c r="AS115" t="str">
        <f>"YPP.QH/KP.01."&amp;E115&amp;"/"&amp;AW115&amp;"/"&amp;ENTRI!$E$4</f>
        <v>YPP.QH/KP.01.07/108/2025</v>
      </c>
      <c r="AW115" s="277" t="s">
        <v>1003</v>
      </c>
    </row>
    <row r="116">
      <c r="A116">
        <f t="shared" si="53"/>
        <v>105</v>
      </c>
      <c r="B116" s="276">
        <f t="shared" si="54"/>
        <v>2010</v>
      </c>
      <c r="C116" s="277">
        <v>109</v>
      </c>
      <c r="D116" s="219" t="str">
        <f>IFERROR(IF(ENTRI!B116=$AZ$9,$BA$9,IF(ENTRI!B116=$AZ$10,$BA$10,IF(ENTRI!B116=$AZ$11,$BA$11,IF(ENTRI!B116=$AZ$12,$BA$12,IF(ENTRI!B116=$AZ$13,$BA$13,IF(ENTRI!B116=$AZ$14,$BA$14,IF(ENTRI!B116=$AZ$15,$BA$15,IF(ENTRI!B116=$AZ$16,$BA$16,IF(ENTRI!B116=$AZ$17,$BA$17,IF(ENTRI!B116=$AZ$18,$BA$18," "))))))))))," ")</f>
        <v xml:space="preserve">SMK Qomarul Hidayah 2 Tugu</v>
      </c>
      <c r="E116" s="219" t="str">
        <f>IFERROR((ENTRI!C116)," ")</f>
        <v>07</v>
      </c>
      <c r="F116" s="219">
        <f t="shared" si="49"/>
        <v>105</v>
      </c>
      <c r="G116" s="219" t="str">
        <f>IFERROR((ENTRI!E116)," ")</f>
        <v>Guru</v>
      </c>
      <c r="H116" s="219" t="str">
        <f>IFERROR((ENTRI!F116)," ")</f>
        <v>01</v>
      </c>
      <c r="I116" s="219" t="str">
        <f>IFERROR((ENTRI!G116)," ")</f>
        <v xml:space="preserve">MUHAMMAD MUHLIS ISNAINI TAUFIQILLAH, S.Pd. </v>
      </c>
      <c r="J116" s="219" t="str">
        <f>IFERROR((ENTRI!H116)," ")</f>
        <v xml:space="preserve">19970505  201707 07 01 55</v>
      </c>
      <c r="K116" s="219" t="str">
        <f>IFERROR((ENTRI!I116)," ")</f>
        <v>Trenggalek</v>
      </c>
      <c r="L116" s="219" t="str">
        <f>IFERROR((ENTRI!J116)," ")</f>
        <v>05</v>
      </c>
      <c r="M116" s="219" t="str">
        <f>IFERROR((ENTRI!K116)," ")</f>
        <v>05</v>
      </c>
      <c r="N116" s="219">
        <f>IFERROR((ENTRI!L116)," ")</f>
        <v>1997</v>
      </c>
      <c r="O116" s="219" t="str">
        <f t="shared" si="50"/>
        <v xml:space="preserve">Trenggalek, 05-05-1997</v>
      </c>
      <c r="P116" s="219" t="str">
        <f>IFERROR((ENTRI!N116)," ")</f>
        <v>17</v>
      </c>
      <c r="Q116" s="219" t="str">
        <f>IFERROR((ENTRI!O116)," ")</f>
        <v>07</v>
      </c>
      <c r="R116" s="219">
        <f>IFERROR((ENTRI!P116)," ")</f>
        <v>2017</v>
      </c>
      <c r="S116" s="219" t="str">
        <f t="shared" si="51"/>
        <v>17-07-2017</v>
      </c>
      <c r="T116" s="219" t="str">
        <f>IFERROR((ENTRI!Q116)," ")</f>
        <v>17</v>
      </c>
      <c r="U116" s="219" t="str">
        <f>IFERROR((ENTRI!R116)," ")</f>
        <v>07</v>
      </c>
      <c r="V116" s="219">
        <f>IFERROR((ENTRI!S116)," ")</f>
        <v>2017</v>
      </c>
      <c r="W116" s="219" t="str">
        <f t="shared" si="52"/>
        <v>17-07-2017</v>
      </c>
      <c r="X116" s="219">
        <f>IFERROR((ENTRI!T116)," ")</f>
        <v>8</v>
      </c>
      <c r="Y116" s="219">
        <f>IFERROR((ENTRI!U116)," ")</f>
        <v>8</v>
      </c>
      <c r="Z116" s="219">
        <f>IFERROR((ENTRI!V116)," ")</f>
        <v>8</v>
      </c>
      <c r="AA116" s="219">
        <f>IFERROR((ENTRI!W116)," ")</f>
        <v>8</v>
      </c>
      <c r="AB116" s="219" t="str">
        <f>IFERROR((ENTRI!X116)," ")</f>
        <v>S1</v>
      </c>
      <c r="AC116" s="219" t="str">
        <f>IFERROR((ENTRI!Y116)," ")</f>
        <v xml:space="preserve">Pendidikan Agama Islam</v>
      </c>
      <c r="AD116" s="219">
        <f>IFERROR((ENTRI!Z116)," ")</f>
        <v>0</v>
      </c>
      <c r="AE116" s="219">
        <f>IFERROR((ENTRI!AA116)," ")</f>
        <v>0</v>
      </c>
      <c r="AF116" s="219">
        <f>IFERROR((ENTRI!AB116)," ")</f>
        <v>0</v>
      </c>
      <c r="AG116" s="219">
        <f>IFERROR((ENTRI!AC116)," ")</f>
        <v>0</v>
      </c>
      <c r="AH116" s="219">
        <f>IFERROR((ENTRI!AD116)," ")</f>
        <v>0</v>
      </c>
      <c r="AI116" s="219">
        <f>IFERROR((ENTRI!AE116)," ")</f>
        <v>0</v>
      </c>
      <c r="AJ116" s="219">
        <f>IFERROR((ENTRI!AF116)," ")</f>
        <v>0</v>
      </c>
      <c r="AK116" s="219">
        <f>IFERROR((ENTRI!AG116)," ")</f>
        <v>0</v>
      </c>
      <c r="AL116" s="219">
        <f>IFERROR((ENTRI!AH116)," ")</f>
        <v>0</v>
      </c>
      <c r="AM116" s="219">
        <f>IFERROR((ENTRI!AI116)," ")</f>
        <v>0</v>
      </c>
      <c r="AN116" s="219">
        <f>IFERROR((ENTRI!AJ116)," ")</f>
        <v>0</v>
      </c>
      <c r="AO116" s="219">
        <f>IFERROR((ENTRI!AK116)," ")</f>
        <v>0</v>
      </c>
      <c r="AP116" s="219">
        <f>IFERROR((ENTRI!AL116)," ")</f>
        <v>0</v>
      </c>
      <c r="AQ116" s="219">
        <f>IFERROR((ENTRI!AM116)," ")</f>
        <v>0</v>
      </c>
      <c r="AR116" s="216" t="str">
        <f>E116&amp;"."&amp;H116&amp;"."&amp;AW116&amp;"."&amp;ENTRI!$E$4</f>
        <v>07.01.109.2025</v>
      </c>
      <c r="AS116" t="str">
        <f>"YPP.QH/KP.01."&amp;E116&amp;"/"&amp;AW116&amp;"/"&amp;ENTRI!$E$4</f>
        <v>YPP.QH/KP.01.07/109/2025</v>
      </c>
      <c r="AW116" s="277" t="s">
        <v>1004</v>
      </c>
    </row>
    <row r="117">
      <c r="A117">
        <f t="shared" si="53"/>
        <v>100</v>
      </c>
      <c r="B117" s="276">
        <f t="shared" si="54"/>
        <v>2008</v>
      </c>
      <c r="C117" s="277">
        <v>110</v>
      </c>
      <c r="D117" s="219" t="str">
        <f>IFERROR(IF(ENTRI!B117=$AZ$9,$BA$9,IF(ENTRI!B117=$AZ$10,$BA$10,IF(ENTRI!B117=$AZ$11,$BA$11,IF(ENTRI!B117=$AZ$12,$BA$12,IF(ENTRI!B117=$AZ$13,$BA$13,IF(ENTRI!B117=$AZ$14,$BA$14,IF(ENTRI!B117=$AZ$15,$BA$15,IF(ENTRI!B117=$AZ$16,$BA$16,IF(ENTRI!B117=$AZ$17,$BA$17,IF(ENTRI!B117=$AZ$18,$BA$18," "))))))))))," ")</f>
        <v xml:space="preserve">SMK Qomarul Hidayah 1 Tugu</v>
      </c>
      <c r="E117" s="219" t="str">
        <f>IFERROR((ENTRI!C117)," ")</f>
        <v>06</v>
      </c>
      <c r="F117" s="219">
        <f t="shared" si="49"/>
        <v>100</v>
      </c>
      <c r="G117" s="219" t="str">
        <f>IFERROR((ENTRI!E117)," ")</f>
        <v>Guru</v>
      </c>
      <c r="H117" s="219" t="str">
        <f>IFERROR((ENTRI!F117)," ")</f>
        <v>01</v>
      </c>
      <c r="I117" s="219" t="str">
        <f>IFERROR((ENTRI!G117)," ")</f>
        <v xml:space="preserve">ZAINUDIN ANWAR,S.Pd.I</v>
      </c>
      <c r="J117" s="219" t="str">
        <f>IFERROR((ENTRI!H117)," ")</f>
        <v xml:space="preserve">19820313  201507 06 01 27</v>
      </c>
      <c r="K117" s="219" t="str">
        <f>IFERROR((ENTRI!I117)," ")</f>
        <v>Trenggalek</v>
      </c>
      <c r="L117" s="219" t="str">
        <f>IFERROR((ENTRI!J117)," ")</f>
        <v>13</v>
      </c>
      <c r="M117" s="219" t="str">
        <f>IFERROR((ENTRI!K117)," ")</f>
        <v>03</v>
      </c>
      <c r="N117" s="219">
        <f>IFERROR((ENTRI!L117)," ")</f>
        <v>1982</v>
      </c>
      <c r="O117" s="219" t="str">
        <f t="shared" si="50"/>
        <v xml:space="preserve">Trenggalek, 13-03-1982</v>
      </c>
      <c r="P117" s="219" t="str">
        <f>IFERROR((ENTRI!N117)," ")</f>
        <v>27</v>
      </c>
      <c r="Q117" s="219" t="str">
        <f>IFERROR((ENTRI!O117)," ")</f>
        <v>07</v>
      </c>
      <c r="R117" s="219">
        <f>IFERROR((ENTRI!P117)," ")</f>
        <v>2015</v>
      </c>
      <c r="S117" s="219" t="str">
        <f t="shared" si="51"/>
        <v>27-07-2015</v>
      </c>
      <c r="T117" s="219" t="str">
        <f>IFERROR((ENTRI!Q117)," ")</f>
        <v>27</v>
      </c>
      <c r="U117" s="219" t="str">
        <f>IFERROR((ENTRI!R117)," ")</f>
        <v>07</v>
      </c>
      <c r="V117" s="219">
        <f>IFERROR((ENTRI!S117)," ")</f>
        <v>2015</v>
      </c>
      <c r="W117" s="219" t="str">
        <f t="shared" si="52"/>
        <v>27-07-2015</v>
      </c>
      <c r="X117" s="219">
        <f>IFERROR((ENTRI!T117)," ")</f>
        <v>10</v>
      </c>
      <c r="Y117" s="219">
        <f>IFERROR((ENTRI!U117)," ")</f>
        <v>10</v>
      </c>
      <c r="Z117" s="219">
        <f>IFERROR((ENTRI!V117)," ")</f>
        <v>10</v>
      </c>
      <c r="AA117" s="219">
        <f>IFERROR((ENTRI!W117)," ")</f>
        <v>10</v>
      </c>
      <c r="AB117" s="219" t="str">
        <f>IFERROR((ENTRI!X117)," ")</f>
        <v>S1</v>
      </c>
      <c r="AC117" s="219" t="str">
        <f>IFERROR((ENTRI!Y117)," ")</f>
        <v xml:space="preserve">Pendidikan Agama Islam</v>
      </c>
      <c r="AD117" s="219">
        <f>IFERROR((ENTRI!Z117)," ")</f>
        <v>0</v>
      </c>
      <c r="AE117" s="219">
        <f>IFERROR((ENTRI!AA117)," ")</f>
        <v>0</v>
      </c>
      <c r="AF117" s="219">
        <f>IFERROR((ENTRI!AB117)," ")</f>
        <v>0</v>
      </c>
      <c r="AG117" s="219">
        <f>IFERROR((ENTRI!AC117)," ")</f>
        <v>0</v>
      </c>
      <c r="AH117" s="219">
        <f>IFERROR((ENTRI!AD117)," ")</f>
        <v>0</v>
      </c>
      <c r="AI117" s="219">
        <f>IFERROR((ENTRI!AE117)," ")</f>
        <v>0</v>
      </c>
      <c r="AJ117" s="219">
        <f>IFERROR((ENTRI!AF117)," ")</f>
        <v>0</v>
      </c>
      <c r="AK117" s="219">
        <f>IFERROR((ENTRI!AG117)," ")</f>
        <v>0</v>
      </c>
      <c r="AL117" s="219">
        <f>IFERROR((ENTRI!AH117)," ")</f>
        <v>0</v>
      </c>
      <c r="AM117" s="219">
        <f>IFERROR((ENTRI!AI117)," ")</f>
        <v>0</v>
      </c>
      <c r="AN117" s="219">
        <f>IFERROR((ENTRI!AJ117)," ")</f>
        <v>0</v>
      </c>
      <c r="AO117" s="219">
        <f>IFERROR((ENTRI!AK117)," ")</f>
        <v>0</v>
      </c>
      <c r="AP117" s="219">
        <f>IFERROR((ENTRI!AL117)," ")</f>
        <v>0</v>
      </c>
      <c r="AQ117" s="219">
        <f>IFERROR((ENTRI!AM117)," ")</f>
        <v>0</v>
      </c>
      <c r="AR117" s="216" t="str">
        <f>E117&amp;"."&amp;H117&amp;"."&amp;AW117&amp;"."&amp;ENTRI!$E$4</f>
        <v>06.01.110.2025</v>
      </c>
      <c r="AS117" t="str">
        <f>"YPP.QH/KP.01."&amp;E117&amp;"/"&amp;AW117&amp;"/"&amp;ENTRI!$E$4</f>
        <v>YPP.QH/KP.01.06/110/2025</v>
      </c>
      <c r="AW117" s="277" t="s">
        <v>1005</v>
      </c>
    </row>
    <row r="118">
      <c r="A118">
        <f t="shared" si="53"/>
        <v>10</v>
      </c>
      <c r="B118" s="276">
        <f t="shared" si="54"/>
        <v>1987</v>
      </c>
      <c r="C118" s="277">
        <v>111</v>
      </c>
      <c r="D118" s="219" t="str">
        <f>IFERROR(IF(ENTRI!B118=$AZ$9,$BA$9,IF(ENTRI!B118=$AZ$10,$BA$10,IF(ENTRI!B118=$AZ$11,$BA$11,IF(ENTRI!B118=$AZ$12,$BA$12,IF(ENTRI!B118=$AZ$13,$BA$13,IF(ENTRI!B118=$AZ$14,$BA$14,IF(ENTRI!B118=$AZ$15,$BA$15,IF(ENTRI!B118=$AZ$16,$BA$16,IF(ENTRI!B118=$AZ$17,$BA$17,IF(ENTRI!B118=$AZ$18,$BA$18," "))))))))))," ")</f>
        <v xml:space="preserve">SMK Qomarul Hidayah 2 Tugu</v>
      </c>
      <c r="E118" s="219" t="str">
        <f>IFERROR((ENTRI!C118)," ")</f>
        <v>07</v>
      </c>
      <c r="F118" s="219">
        <f t="shared" si="49"/>
        <v>10</v>
      </c>
      <c r="G118" s="219" t="str">
        <f>IFERROR((ENTRI!E118)," ")</f>
        <v>Guru</v>
      </c>
      <c r="H118" s="219" t="str">
        <f>IFERROR((ENTRI!F118)," ")</f>
        <v>01</v>
      </c>
      <c r="I118" s="219" t="str">
        <f>IFERROR((ENTRI!G118)," ")</f>
        <v>WIDAYATI,S.Pd</v>
      </c>
      <c r="J118" s="219" t="str">
        <f>IFERROR((ENTRI!H118)," ")</f>
        <v xml:space="preserve">19690323  199407 07 01 </v>
      </c>
      <c r="K118" s="219" t="str">
        <f>IFERROR((ENTRI!I118)," ")</f>
        <v>Trenggalek</v>
      </c>
      <c r="L118" s="219" t="str">
        <f>IFERROR((ENTRI!J118)," ")</f>
        <v>23</v>
      </c>
      <c r="M118" s="219" t="str">
        <f>IFERROR((ENTRI!K118)," ")</f>
        <v>03</v>
      </c>
      <c r="N118" s="219">
        <f>IFERROR((ENTRI!L118)," ")</f>
        <v>1969</v>
      </c>
      <c r="O118" s="219" t="str">
        <f t="shared" si="50"/>
        <v xml:space="preserve">Trenggalek, 23-03-1969</v>
      </c>
      <c r="P118" s="219" t="str">
        <f>IFERROR((ENTRI!N118)," ")</f>
        <v>18</v>
      </c>
      <c r="Q118" s="219" t="str">
        <f>IFERROR((ENTRI!O118)," ")</f>
        <v>07</v>
      </c>
      <c r="R118" s="219">
        <f>IFERROR((ENTRI!P118)," ")</f>
        <v>1994</v>
      </c>
      <c r="S118" s="219" t="str">
        <f t="shared" si="51"/>
        <v>18-07-1994</v>
      </c>
      <c r="T118" s="219" t="str">
        <f>IFERROR((ENTRI!Q118)," ")</f>
        <v>18</v>
      </c>
      <c r="U118" s="219" t="str">
        <f>IFERROR((ENTRI!R118)," ")</f>
        <v>07</v>
      </c>
      <c r="V118" s="219">
        <f>IFERROR((ENTRI!S118)," ")</f>
        <v>1994</v>
      </c>
      <c r="W118" s="219" t="str">
        <f t="shared" si="52"/>
        <v>18-07-1994</v>
      </c>
      <c r="X118" s="219">
        <f>IFERROR((ENTRI!T118)," ")</f>
        <v>31</v>
      </c>
      <c r="Y118" s="219">
        <f>IFERROR((ENTRI!U118)," ")</f>
        <v>31</v>
      </c>
      <c r="Z118" s="219">
        <f>IFERROR((ENTRI!V118)," ")</f>
        <v>31</v>
      </c>
      <c r="AA118" s="219">
        <f>IFERROR((ENTRI!W118)," ")</f>
        <v>31</v>
      </c>
      <c r="AB118" s="219" t="str">
        <f>IFERROR((ENTRI!X118)," ")</f>
        <v>S1</v>
      </c>
      <c r="AC118" s="219" t="str">
        <f>IFERROR((ENTRI!Y118)," ")</f>
        <v xml:space="preserve">BAHASA INGGRIS</v>
      </c>
      <c r="AD118" s="219">
        <f>IFERROR((ENTRI!Z118)," ")</f>
        <v>0</v>
      </c>
      <c r="AE118" s="219">
        <f>IFERROR((ENTRI!AA118)," ")</f>
        <v>0</v>
      </c>
      <c r="AF118" s="219">
        <f>IFERROR((ENTRI!AB118)," ")</f>
        <v>0</v>
      </c>
      <c r="AG118" s="219">
        <f>IFERROR((ENTRI!AC118)," ")</f>
        <v>0</v>
      </c>
      <c r="AH118" s="219">
        <f>IFERROR((ENTRI!AD118)," ")</f>
        <v>0</v>
      </c>
      <c r="AI118" s="219">
        <f>IFERROR((ENTRI!AE118)," ")</f>
        <v>0</v>
      </c>
      <c r="AJ118" s="219">
        <f>IFERROR((ENTRI!AF118)," ")</f>
        <v>0</v>
      </c>
      <c r="AK118" s="219">
        <f>IFERROR((ENTRI!AG118)," ")</f>
        <v>0</v>
      </c>
      <c r="AL118" s="219">
        <f>IFERROR((ENTRI!AH118)," ")</f>
        <v>0</v>
      </c>
      <c r="AM118" s="219">
        <f>IFERROR((ENTRI!AI118)," ")</f>
        <v>0</v>
      </c>
      <c r="AN118" s="219">
        <f>IFERROR((ENTRI!AJ118)," ")</f>
        <v>0</v>
      </c>
      <c r="AO118" s="219">
        <f>IFERROR((ENTRI!AK118)," ")</f>
        <v>0</v>
      </c>
      <c r="AP118" s="219">
        <f>IFERROR((ENTRI!AL118)," ")</f>
        <v>0</v>
      </c>
      <c r="AQ118" s="219">
        <f>IFERROR((ENTRI!AM118)," ")</f>
        <v>0</v>
      </c>
      <c r="AR118" s="216" t="str">
        <f>E118&amp;"."&amp;H118&amp;"."&amp;AW118&amp;"."&amp;ENTRI!$E$4</f>
        <v>07.01.111.2025</v>
      </c>
      <c r="AS118" t="str">
        <f>"YPP.QH/KP.01."&amp;E118&amp;"/"&amp;AW118&amp;"/"&amp;ENTRI!$E$4</f>
        <v>YPP.QH/KP.01.07/111/2025</v>
      </c>
      <c r="AW118" s="277" t="s">
        <v>1006</v>
      </c>
    </row>
    <row r="119">
      <c r="A119">
        <f t="shared" si="53"/>
        <v>114</v>
      </c>
      <c r="B119" s="276">
        <f t="shared" ref="B119:B181" si="55">R119</f>
        <v>2017</v>
      </c>
      <c r="C119" s="277">
        <v>112</v>
      </c>
      <c r="D119" s="219" t="str">
        <f>IFERROR(IF(ENTRI!B119=$AZ$9,$BA$9,IF(ENTRI!B119=$AZ$10,$BA$10,IF(ENTRI!B119=$AZ$11,$BA$11,IF(ENTRI!B119=$AZ$12,$BA$12,IF(ENTRI!B119=$AZ$13,$BA$13,IF(ENTRI!B119=$AZ$14,$BA$14,IF(ENTRI!B119=$AZ$15,$BA$15,IF(ENTRI!B119=$AZ$16,$BA$16,IF(ENTRI!B119=$AZ$17,$BA$17,IF(ENTRI!B119=$AZ$18,$BA$18," "))))))))))," ")</f>
        <v xml:space="preserve">SMK Qomarul Hidayah 1 Tugu</v>
      </c>
      <c r="E119" s="219" t="str">
        <f>IFERROR((ENTRI!C119)," ")</f>
        <v>06</v>
      </c>
      <c r="F119" s="219">
        <f t="shared" si="49"/>
        <v>114</v>
      </c>
      <c r="G119" s="219" t="str">
        <f>IFERROR((ENTRI!E119)," ")</f>
        <v>Guru</v>
      </c>
      <c r="H119" s="219" t="str">
        <f>IFERROR((ENTRI!F119)," ")</f>
        <v>01</v>
      </c>
      <c r="I119" s="219" t="str">
        <f>IFERROR((ENTRI!G119)," ")</f>
        <v xml:space="preserve">APRILIA NINGROOM,S.Pd</v>
      </c>
      <c r="J119" s="219" t="str">
        <f>IFERROR((ENTRI!H119)," ")</f>
        <v xml:space="preserve">19930403  201701 06 01 </v>
      </c>
      <c r="K119" s="219" t="str">
        <f>IFERROR((ENTRI!I119)," ")</f>
        <v>Trenggalek</v>
      </c>
      <c r="L119" s="219" t="str">
        <f>IFERROR((ENTRI!J119)," ")</f>
        <v>03</v>
      </c>
      <c r="M119" s="219" t="str">
        <f>IFERROR((ENTRI!K119)," ")</f>
        <v>04</v>
      </c>
      <c r="N119" s="219">
        <f>IFERROR((ENTRI!L119)," ")</f>
        <v>1993</v>
      </c>
      <c r="O119" s="219" t="str">
        <f t="shared" si="50"/>
        <v xml:space="preserve">Trenggalek, 03-04-1993</v>
      </c>
      <c r="P119" s="219" t="str">
        <f>IFERROR((ENTRI!N119)," ")</f>
        <v>02</v>
      </c>
      <c r="Q119" s="219" t="str">
        <f>IFERROR((ENTRI!O119)," ")</f>
        <v>01</v>
      </c>
      <c r="R119" s="219">
        <f>IFERROR((ENTRI!P119)," ")</f>
        <v>2017</v>
      </c>
      <c r="S119" s="219" t="str">
        <f t="shared" si="51"/>
        <v>02-01-2017</v>
      </c>
      <c r="T119" s="219" t="str">
        <f>IFERROR((ENTRI!Q119)," ")</f>
        <v>02</v>
      </c>
      <c r="U119" s="219" t="str">
        <f>IFERROR((ENTRI!R119)," ")</f>
        <v>01</v>
      </c>
      <c r="V119" s="219">
        <f>IFERROR((ENTRI!S119)," ")</f>
        <v>2017</v>
      </c>
      <c r="W119" s="219" t="str">
        <f t="shared" si="52"/>
        <v>02-01-2017</v>
      </c>
      <c r="X119" s="219">
        <f>IFERROR((ENTRI!T119)," ")</f>
        <v>0</v>
      </c>
      <c r="Y119" s="219">
        <f>IFERROR((ENTRI!U119)," ")</f>
        <v>0</v>
      </c>
      <c r="Z119" s="219">
        <f>IFERROR((ENTRI!V119)," ")</f>
        <v>0</v>
      </c>
      <c r="AA119" s="219">
        <f>IFERROR((ENTRI!W119)," ")</f>
        <v>0</v>
      </c>
      <c r="AB119" s="219" t="str">
        <f>IFERROR((ENTRI!X119)," ")</f>
        <v>S1</v>
      </c>
      <c r="AC119" s="219" t="str">
        <f>IFERROR((ENTRI!Y119)," ")</f>
        <v xml:space="preserve">BAHASA INGGRIS</v>
      </c>
      <c r="AD119" s="219">
        <f>IFERROR((ENTRI!Z119)," ")</f>
        <v>0</v>
      </c>
      <c r="AE119" s="219">
        <f>IFERROR((ENTRI!AA119)," ")</f>
        <v>0</v>
      </c>
      <c r="AF119" s="219">
        <f>IFERROR((ENTRI!AB119)," ")</f>
        <v>0</v>
      </c>
      <c r="AG119" s="219">
        <f>IFERROR((ENTRI!AC119)," ")</f>
        <v>0</v>
      </c>
      <c r="AH119" s="219">
        <f>IFERROR((ENTRI!AD119)," ")</f>
        <v>0</v>
      </c>
      <c r="AI119" s="219">
        <f>IFERROR((ENTRI!AE119)," ")</f>
        <v>0</v>
      </c>
      <c r="AJ119" s="219">
        <f>IFERROR((ENTRI!AF119)," ")</f>
        <v>0</v>
      </c>
      <c r="AK119" s="219">
        <f>IFERROR((ENTRI!AG119)," ")</f>
        <v>0</v>
      </c>
      <c r="AL119" s="219">
        <f>IFERROR((ENTRI!AH119)," ")</f>
        <v>0</v>
      </c>
      <c r="AM119" s="219">
        <f>IFERROR((ENTRI!AI119)," ")</f>
        <v>0</v>
      </c>
      <c r="AN119" s="219">
        <f>IFERROR((ENTRI!AJ119)," ")</f>
        <v>0</v>
      </c>
      <c r="AO119" s="219">
        <f>IFERROR((ENTRI!AK119)," ")</f>
        <v>0</v>
      </c>
      <c r="AP119" s="219">
        <f>IFERROR((ENTRI!AL119)," ")</f>
        <v>0</v>
      </c>
      <c r="AQ119" s="219">
        <f>IFERROR((ENTRI!AM119)," ")</f>
        <v>0</v>
      </c>
      <c r="AR119" s="216" t="str">
        <f>E119&amp;"."&amp;H119&amp;"."&amp;AW119&amp;"."&amp;ENTRI!$E$4</f>
        <v>06.01.112.2025</v>
      </c>
      <c r="AS119" t="str">
        <f>"YPP.QH/KP.01."&amp;E119&amp;"/"&amp;AW119&amp;"/"&amp;ENTRI!$E$4</f>
        <v>YPP.QH/KP.01.06/112/2025</v>
      </c>
      <c r="AW119" s="277" t="s">
        <v>1007</v>
      </c>
    </row>
    <row r="120">
      <c r="A120">
        <f t="shared" si="53"/>
        <v>114</v>
      </c>
      <c r="B120" s="276">
        <f t="shared" si="55"/>
        <v>2017</v>
      </c>
      <c r="C120" s="277">
        <v>113</v>
      </c>
      <c r="D120" s="219" t="str">
        <f>IFERROR(IF(ENTRI!B120=$AZ$9,$BA$9,IF(ENTRI!B120=$AZ$10,$BA$10,IF(ENTRI!B120=$AZ$11,$BA$11,IF(ENTRI!B120=$AZ$12,$BA$12,IF(ENTRI!B120=$AZ$13,$BA$13,IF(ENTRI!B120=$AZ$14,$BA$14,IF(ENTRI!B120=$AZ$15,$BA$15,IF(ENTRI!B120=$AZ$16,$BA$16,IF(ENTRI!B120=$AZ$17,$BA$17,IF(ENTRI!B120=$AZ$18,$BA$18," "))))))))))," ")</f>
        <v xml:space="preserve">SMK Qomarul Hidayah 1 Tugu</v>
      </c>
      <c r="E120" s="219" t="str">
        <f>IFERROR((ENTRI!C120)," ")</f>
        <v>06</v>
      </c>
      <c r="F120" s="219">
        <f t="shared" si="49"/>
        <v>114</v>
      </c>
      <c r="G120" s="219" t="str">
        <f>IFERROR((ENTRI!E120)," ")</f>
        <v>Guru</v>
      </c>
      <c r="H120" s="219" t="str">
        <f>IFERROR((ENTRI!F120)," ")</f>
        <v>01</v>
      </c>
      <c r="I120" s="219" t="str">
        <f>IFERROR((ENTRI!G120)," ")</f>
        <v xml:space="preserve">AHMAD GHIYATSIDDIN, S.Pd.</v>
      </c>
      <c r="J120" s="219" t="str">
        <f>IFERROR((ENTRI!H120)," ")</f>
        <v xml:space="preserve">19970725  201707 06 01 62</v>
      </c>
      <c r="K120" s="219" t="str">
        <f>IFERROR((ENTRI!I120)," ")</f>
        <v>Trenggalek</v>
      </c>
      <c r="L120" s="219" t="str">
        <f>IFERROR((ENTRI!J120)," ")</f>
        <v>25</v>
      </c>
      <c r="M120" s="219" t="str">
        <f>IFERROR((ENTRI!K120)," ")</f>
        <v>07</v>
      </c>
      <c r="N120" s="219">
        <f>IFERROR((ENTRI!L120)," ")</f>
        <v>1997</v>
      </c>
      <c r="O120" s="219" t="str">
        <f t="shared" si="50"/>
        <v xml:space="preserve">Trenggalek, 25-07-1997</v>
      </c>
      <c r="P120" s="219" t="str">
        <f>IFERROR((ENTRI!N120)," ")</f>
        <v>18</v>
      </c>
      <c r="Q120" s="219" t="str">
        <f>IFERROR((ENTRI!O120)," ")</f>
        <v>07</v>
      </c>
      <c r="R120" s="219">
        <f>IFERROR((ENTRI!P120)," ")</f>
        <v>2017</v>
      </c>
      <c r="S120" s="219" t="str">
        <f t="shared" si="51"/>
        <v>18-07-2017</v>
      </c>
      <c r="T120" s="219" t="str">
        <f>IFERROR((ENTRI!Q120)," ")</f>
        <v>18</v>
      </c>
      <c r="U120" s="219" t="str">
        <f>IFERROR((ENTRI!R120)," ")</f>
        <v>07</v>
      </c>
      <c r="V120" s="219">
        <f>IFERROR((ENTRI!S120)," ")</f>
        <v>2017</v>
      </c>
      <c r="W120" s="219" t="str">
        <f t="shared" si="52"/>
        <v>18-07-2017</v>
      </c>
      <c r="X120" s="219">
        <f>IFERROR((ENTRI!T120)," ")</f>
        <v>8</v>
      </c>
      <c r="Y120" s="219">
        <f>IFERROR((ENTRI!U120)," ")</f>
        <v>8</v>
      </c>
      <c r="Z120" s="219">
        <f>IFERROR((ENTRI!V120)," ")</f>
        <v>8</v>
      </c>
      <c r="AA120" s="219">
        <f>IFERROR((ENTRI!W120)," ")</f>
        <v>8</v>
      </c>
      <c r="AB120" s="219" t="str">
        <f>IFERROR((ENTRI!X120)," ")</f>
        <v>S1</v>
      </c>
      <c r="AC120" s="219" t="str">
        <f>IFERROR((ENTRI!Y120)," ")</f>
        <v xml:space="preserve">PENDIDIKAN AGAMA ISLAM </v>
      </c>
      <c r="AD120" s="219">
        <f>IFERROR((ENTRI!Z120)," ")</f>
        <v>0</v>
      </c>
      <c r="AE120" s="219">
        <f>IFERROR((ENTRI!AA120)," ")</f>
        <v>0</v>
      </c>
      <c r="AF120" s="219">
        <f>IFERROR((ENTRI!AB120)," ")</f>
        <v>0</v>
      </c>
      <c r="AG120" s="219">
        <f>IFERROR((ENTRI!AC120)," ")</f>
        <v>0</v>
      </c>
      <c r="AH120" s="219">
        <f>IFERROR((ENTRI!AD120)," ")</f>
        <v>0</v>
      </c>
      <c r="AI120" s="219">
        <f>IFERROR((ENTRI!AE120)," ")</f>
        <v>0</v>
      </c>
      <c r="AJ120" s="219">
        <f>IFERROR((ENTRI!AF120)," ")</f>
        <v>0</v>
      </c>
      <c r="AK120" s="219">
        <f>IFERROR((ENTRI!AG120)," ")</f>
        <v>0</v>
      </c>
      <c r="AL120" s="219">
        <f>IFERROR((ENTRI!AH120)," ")</f>
        <v>0</v>
      </c>
      <c r="AM120" s="219">
        <f>IFERROR((ENTRI!AI120)," ")</f>
        <v>0</v>
      </c>
      <c r="AN120" s="219">
        <f>IFERROR((ENTRI!AJ120)," ")</f>
        <v>0</v>
      </c>
      <c r="AO120" s="219">
        <f>IFERROR((ENTRI!AK120)," ")</f>
        <v>0</v>
      </c>
      <c r="AP120" s="219">
        <f>IFERROR((ENTRI!AL120)," ")</f>
        <v>0</v>
      </c>
      <c r="AQ120" s="219">
        <f>IFERROR((ENTRI!AM120)," ")</f>
        <v>0</v>
      </c>
      <c r="AR120" s="216" t="str">
        <f>E120&amp;"."&amp;H120&amp;"."&amp;AW120&amp;"."&amp;ENTRI!$E$4</f>
        <v>06.01.113.2025</v>
      </c>
      <c r="AS120" t="str">
        <f>"YPP.QH/KP.01."&amp;E120&amp;"/"&amp;AW120&amp;"/"&amp;ENTRI!$E$4</f>
        <v>YPP.QH/KP.01.06/113/2025</v>
      </c>
      <c r="AW120" s="277" t="s">
        <v>1008</v>
      </c>
    </row>
    <row r="121">
      <c r="A121">
        <f t="shared" si="53"/>
        <v>114</v>
      </c>
      <c r="B121" s="276">
        <f t="shared" si="55"/>
        <v>2017</v>
      </c>
      <c r="C121" s="277">
        <v>114</v>
      </c>
      <c r="D121" s="219" t="str">
        <f>IFERROR(IF(ENTRI!B121=$AZ$9,$BA$9,IF(ENTRI!B121=$AZ$10,$BA$10,IF(ENTRI!B121=$AZ$11,$BA$11,IF(ENTRI!B121=$AZ$12,$BA$12,IF(ENTRI!B121=$AZ$13,$BA$13,IF(ENTRI!B121=$AZ$14,$BA$14,IF(ENTRI!B121=$AZ$15,$BA$15,IF(ENTRI!B121=$AZ$16,$BA$16,IF(ENTRI!B121=$AZ$17,$BA$17,IF(ENTRI!B121=$AZ$18,$BA$18," "))))))))))," ")</f>
        <v xml:space="preserve">SMK Qomarul Hidayah 2 Tugu</v>
      </c>
      <c r="E121" s="219" t="str">
        <f>IFERROR((ENTRI!C121)," ")</f>
        <v>07</v>
      </c>
      <c r="F121" s="219">
        <f t="shared" si="49"/>
        <v>114</v>
      </c>
      <c r="G121" s="219" t="str">
        <f>IFERROR((ENTRI!E121)," ")</f>
        <v>Guru</v>
      </c>
      <c r="H121" s="219" t="str">
        <f>IFERROR((ENTRI!F121)," ")</f>
        <v>01</v>
      </c>
      <c r="I121" s="219" t="str">
        <f>IFERROR((ENTRI!G121)," ")</f>
        <v xml:space="preserve">ISNAINI 'AZIZAH FATTA, S.Pd. </v>
      </c>
      <c r="J121" s="219" t="str">
        <f>IFERROR((ENTRI!H121)," ")</f>
        <v xml:space="preserve">19940627  201707 07 01 63</v>
      </c>
      <c r="K121" s="219" t="str">
        <f>IFERROR((ENTRI!I121)," ")</f>
        <v>Trenggalek</v>
      </c>
      <c r="L121" s="219" t="str">
        <f>IFERROR((ENTRI!J121)," ")</f>
        <v>27</v>
      </c>
      <c r="M121" s="219" t="str">
        <f>IFERROR((ENTRI!K121)," ")</f>
        <v>06</v>
      </c>
      <c r="N121" s="219">
        <f>IFERROR((ENTRI!L121)," ")</f>
        <v>1994</v>
      </c>
      <c r="O121" s="219" t="str">
        <f t="shared" si="50"/>
        <v xml:space="preserve">Trenggalek, 27-06-1994</v>
      </c>
      <c r="P121" s="219" t="str">
        <f>IFERROR((ENTRI!N121)," ")</f>
        <v>17</v>
      </c>
      <c r="Q121" s="219" t="str">
        <f>IFERROR((ENTRI!O121)," ")</f>
        <v>07</v>
      </c>
      <c r="R121" s="219">
        <f>IFERROR((ENTRI!P121)," ")</f>
        <v>2017</v>
      </c>
      <c r="S121" s="219" t="str">
        <f t="shared" si="51"/>
        <v>17-07-2017</v>
      </c>
      <c r="T121" s="219" t="str">
        <f>IFERROR((ENTRI!Q121)," ")</f>
        <v>17</v>
      </c>
      <c r="U121" s="219" t="str">
        <f>IFERROR((ENTRI!R121)," ")</f>
        <v>07</v>
      </c>
      <c r="V121" s="219">
        <f>IFERROR((ENTRI!S121)," ")</f>
        <v>2017</v>
      </c>
      <c r="W121" s="219" t="str">
        <f t="shared" si="52"/>
        <v>17-07-2017</v>
      </c>
      <c r="X121" s="219">
        <f>IFERROR((ENTRI!T121)," ")</f>
        <v>8</v>
      </c>
      <c r="Y121" s="219">
        <f>IFERROR((ENTRI!U121)," ")</f>
        <v>8</v>
      </c>
      <c r="Z121" s="219">
        <f>IFERROR((ENTRI!V121)," ")</f>
        <v>8</v>
      </c>
      <c r="AA121" s="219">
        <f>IFERROR((ENTRI!W121)," ")</f>
        <v>8</v>
      </c>
      <c r="AB121" s="219" t="str">
        <f>IFERROR((ENTRI!X121)," ")</f>
        <v>S1</v>
      </c>
      <c r="AC121" s="219" t="str">
        <f>IFERROR((ENTRI!Y121)," ")</f>
        <v xml:space="preserve">Pendidikan Matematika</v>
      </c>
      <c r="AD121" s="219">
        <f>IFERROR((ENTRI!Z121)," ")</f>
        <v>0</v>
      </c>
      <c r="AE121" s="219">
        <f>IFERROR((ENTRI!AA121)," ")</f>
        <v>0</v>
      </c>
      <c r="AF121" s="219">
        <f>IFERROR((ENTRI!AB121)," ")</f>
        <v>0</v>
      </c>
      <c r="AG121" s="219">
        <f>IFERROR((ENTRI!AC121)," ")</f>
        <v>0</v>
      </c>
      <c r="AH121" s="219">
        <f>IFERROR((ENTRI!AD121)," ")</f>
        <v>0</v>
      </c>
      <c r="AI121" s="219">
        <f>IFERROR((ENTRI!AE121)," ")</f>
        <v>0</v>
      </c>
      <c r="AJ121" s="219">
        <f>IFERROR((ENTRI!AF121)," ")</f>
        <v>0</v>
      </c>
      <c r="AK121" s="219">
        <f>IFERROR((ENTRI!AG121)," ")</f>
        <v>0</v>
      </c>
      <c r="AL121" s="219">
        <f>IFERROR((ENTRI!AH121)," ")</f>
        <v>0</v>
      </c>
      <c r="AM121" s="219">
        <f>IFERROR((ENTRI!AI121)," ")</f>
        <v>0</v>
      </c>
      <c r="AN121" s="219">
        <f>IFERROR((ENTRI!AJ121)," ")</f>
        <v>0</v>
      </c>
      <c r="AO121" s="219">
        <f>IFERROR((ENTRI!AK121)," ")</f>
        <v>0</v>
      </c>
      <c r="AP121" s="219">
        <f>IFERROR((ENTRI!AL121)," ")</f>
        <v>0</v>
      </c>
      <c r="AQ121" s="219">
        <f>IFERROR((ENTRI!AM121)," ")</f>
        <v>0</v>
      </c>
      <c r="AR121" s="216" t="str">
        <f>E121&amp;"."&amp;H121&amp;"."&amp;AW121&amp;"."&amp;ENTRI!$E$4</f>
        <v>07.01.114.2025</v>
      </c>
      <c r="AS121" t="str">
        <f>"YPP.QH/KP.01."&amp;E121&amp;"/"&amp;AW121&amp;"/"&amp;ENTRI!$E$4</f>
        <v>YPP.QH/KP.01.07/114/2025</v>
      </c>
      <c r="AW121" s="277" t="s">
        <v>1009</v>
      </c>
    </row>
    <row r="122">
      <c r="A122">
        <f t="shared" si="53"/>
        <v>112</v>
      </c>
      <c r="B122" s="276">
        <f t="shared" si="55"/>
        <v>2016</v>
      </c>
      <c r="C122" s="277">
        <v>115</v>
      </c>
      <c r="D122" s="219" t="str">
        <f>IFERROR(IF(ENTRI!B122=$AZ$9,$BA$9,IF(ENTRI!B122=$AZ$10,$BA$10,IF(ENTRI!B122=$AZ$11,$BA$11,IF(ENTRI!B122=$AZ$12,$BA$12,IF(ENTRI!B122=$AZ$13,$BA$13,IF(ENTRI!B122=$AZ$14,$BA$14,IF(ENTRI!B122=$AZ$15,$BA$15,IF(ENTRI!B122=$AZ$16,$BA$16,IF(ENTRI!B122=$AZ$17,$BA$17,IF(ENTRI!B122=$AZ$18,$BA$18," "))))))))))," ")</f>
        <v xml:space="preserve">MI Qomarul Hidayah</v>
      </c>
      <c r="E122" s="219" t="str">
        <f>IFERROR((ENTRI!C122)," ")</f>
        <v>03</v>
      </c>
      <c r="F122" s="219">
        <f t="shared" ref="F122:F181" si="56">A122</f>
        <v>112</v>
      </c>
      <c r="G122" s="219" t="str">
        <f>IFERROR((ENTRI!E122)," ")</f>
        <v>Guru</v>
      </c>
      <c r="H122" s="219" t="str">
        <f>IFERROR((ENTRI!F122)," ")</f>
        <v>01</v>
      </c>
      <c r="I122" s="219" t="str">
        <f>IFERROR((ENTRI!G122)," ")</f>
        <v xml:space="preserve">DZURIYATUL MUKAROMAH, S.Pd.I</v>
      </c>
      <c r="J122" s="219" t="str">
        <f>IFERROR((ENTRI!H122)," ")</f>
        <v xml:space="preserve">19921001  201607 03 01 103</v>
      </c>
      <c r="K122" s="219" t="str">
        <f>IFERROR((ENTRI!I122)," ")</f>
        <v xml:space="preserve">Blitar </v>
      </c>
      <c r="L122" s="219" t="str">
        <f>IFERROR((ENTRI!J122)," ")</f>
        <v>01</v>
      </c>
      <c r="M122" s="219" t="str">
        <f>IFERROR((ENTRI!K122)," ")</f>
        <v>10</v>
      </c>
      <c r="N122" s="219">
        <f>IFERROR((ENTRI!L122)," ")</f>
        <v>1992</v>
      </c>
      <c r="O122" s="219" t="str">
        <f t="shared" ref="O122:O181" si="57">K122&amp;","&amp;" "&amp;L122&amp;"-"&amp;M122&amp;"-"&amp;N122</f>
        <v xml:space="preserve">Blitar , 01-10-1992</v>
      </c>
      <c r="P122" s="219" t="str">
        <f>IFERROR((ENTRI!N122)," ")</f>
        <v>01</v>
      </c>
      <c r="Q122" s="219" t="str">
        <f>IFERROR((ENTRI!O122)," ")</f>
        <v>07</v>
      </c>
      <c r="R122" s="219">
        <f>IFERROR((ENTRI!P122)," ")</f>
        <v>2016</v>
      </c>
      <c r="S122" s="219" t="str">
        <f t="shared" ref="S122:S181" si="58">P122&amp;"-"&amp;Q122&amp;"-"&amp;R122</f>
        <v>01-07-2016</v>
      </c>
      <c r="T122" s="219" t="str">
        <f>IFERROR((ENTRI!Q122)," ")</f>
        <v>01</v>
      </c>
      <c r="U122" s="219" t="str">
        <f>IFERROR((ENTRI!R122)," ")</f>
        <v>07</v>
      </c>
      <c r="V122" s="219">
        <f>IFERROR((ENTRI!S122)," ")</f>
        <v>2016</v>
      </c>
      <c r="W122" s="219" t="str">
        <f t="shared" ref="W122:W181" si="59">T122&amp;"-"&amp;U122&amp;"-"&amp;V122</f>
        <v>01-07-2016</v>
      </c>
      <c r="X122" s="219">
        <f>IFERROR((ENTRI!T122)," ")</f>
        <v>9</v>
      </c>
      <c r="Y122" s="219">
        <f>IFERROR((ENTRI!U122)," ")</f>
        <v>9</v>
      </c>
      <c r="Z122" s="219">
        <f>IFERROR((ENTRI!V122)," ")</f>
        <v>9</v>
      </c>
      <c r="AA122" s="219">
        <f>IFERROR((ENTRI!W122)," ")</f>
        <v>9</v>
      </c>
      <c r="AB122" s="219" t="str">
        <f>IFERROR((ENTRI!X122)," ")</f>
        <v>S1</v>
      </c>
      <c r="AC122" s="219" t="str">
        <f>IFERROR((ENTRI!Y122)," ")</f>
        <v xml:space="preserve">Pendidikan Bahasa Arab</v>
      </c>
      <c r="AD122" s="219">
        <f>IFERROR((ENTRI!Z122)," ")</f>
        <v>0</v>
      </c>
      <c r="AE122" s="219">
        <f>IFERROR((ENTRI!AA122)," ")</f>
        <v>0</v>
      </c>
      <c r="AF122" s="219">
        <f>IFERROR((ENTRI!AB122)," ")</f>
        <v>0</v>
      </c>
      <c r="AG122" s="219">
        <f>IFERROR((ENTRI!AC122)," ")</f>
        <v>0</v>
      </c>
      <c r="AH122" s="219">
        <f>IFERROR((ENTRI!AD122)," ")</f>
        <v>0</v>
      </c>
      <c r="AI122" s="219">
        <f>IFERROR((ENTRI!AE122)," ")</f>
        <v>0</v>
      </c>
      <c r="AJ122" s="219">
        <f>IFERROR((ENTRI!AF122)," ")</f>
        <v>0</v>
      </c>
      <c r="AK122" s="219">
        <f>IFERROR((ENTRI!AG122)," ")</f>
        <v>0</v>
      </c>
      <c r="AL122" s="219">
        <f>IFERROR((ENTRI!AH122)," ")</f>
        <v>0</v>
      </c>
      <c r="AM122" s="219">
        <f>IFERROR((ENTRI!AI122)," ")</f>
        <v>0</v>
      </c>
      <c r="AN122" s="219">
        <f>IFERROR((ENTRI!AJ122)," ")</f>
        <v>0</v>
      </c>
      <c r="AO122" s="219">
        <f>IFERROR((ENTRI!AK122)," ")</f>
        <v>0</v>
      </c>
      <c r="AP122" s="219">
        <f>IFERROR((ENTRI!AL122)," ")</f>
        <v>0</v>
      </c>
      <c r="AQ122" s="219">
        <f>IFERROR((ENTRI!AM122)," ")</f>
        <v>0</v>
      </c>
      <c r="AR122" s="216" t="str">
        <f>E122&amp;"."&amp;H122&amp;"."&amp;AW122&amp;"."&amp;ENTRI!$E$4</f>
        <v>03.01.115.2025</v>
      </c>
      <c r="AS122" t="str">
        <f>"YPP.QH/KP.01."&amp;E122&amp;"/"&amp;AW122&amp;"/"&amp;ENTRI!$E$4</f>
        <v>YPP.QH/KP.01.03/115/2025</v>
      </c>
      <c r="AW122" s="277" t="s">
        <v>1010</v>
      </c>
    </row>
    <row r="123">
      <c r="A123">
        <f t="shared" si="53"/>
        <v>118</v>
      </c>
      <c r="B123" s="276">
        <f t="shared" si="55"/>
        <v>2018</v>
      </c>
      <c r="C123" s="277">
        <v>116</v>
      </c>
      <c r="D123" s="219" t="str">
        <f>IFERROR(IF(ENTRI!B123=$AZ$9,$BA$9,IF(ENTRI!B123=$AZ$10,$BA$10,IF(ENTRI!B123=$AZ$11,$BA$11,IF(ENTRI!B123=$AZ$12,$BA$12,IF(ENTRI!B123=$AZ$13,$BA$13,IF(ENTRI!B123=$AZ$14,$BA$14,IF(ENTRI!B123=$AZ$15,$BA$15,IF(ENTRI!B123=$AZ$16,$BA$16,IF(ENTRI!B123=$AZ$17,$BA$17,IF(ENTRI!B123=$AZ$18,$BA$18," "))))))))))," ")</f>
        <v xml:space="preserve">MI Qomarul Hidayah</v>
      </c>
      <c r="E123" s="219" t="str">
        <f>IFERROR((ENTRI!C123)," ")</f>
        <v>03</v>
      </c>
      <c r="F123" s="219">
        <f t="shared" si="56"/>
        <v>118</v>
      </c>
      <c r="G123" s="219" t="str">
        <f>IFERROR((ENTRI!E123)," ")</f>
        <v>Guru</v>
      </c>
      <c r="H123" s="219" t="str">
        <f>IFERROR((ENTRI!F123)," ")</f>
        <v>01</v>
      </c>
      <c r="I123" s="219" t="str">
        <f>IFERROR((ENTRI!G123)," ")</f>
        <v xml:space="preserve">ELIS RAHMAWATI, S.Pd.</v>
      </c>
      <c r="J123" s="219" t="str">
        <f>IFERROR((ENTRI!H123)," ")</f>
        <v xml:space="preserve">19950722  201807 03 01 61</v>
      </c>
      <c r="K123" s="219" t="str">
        <f>IFERROR((ENTRI!I123)," ")</f>
        <v>Trenggalek</v>
      </c>
      <c r="L123" s="219">
        <f>IFERROR((ENTRI!J123)," ")</f>
        <v>22</v>
      </c>
      <c r="M123" s="219" t="str">
        <f>IFERROR((ENTRI!K123)," ")</f>
        <v>07</v>
      </c>
      <c r="N123" s="219">
        <f>IFERROR((ENTRI!L123)," ")</f>
        <v>1995</v>
      </c>
      <c r="O123" s="219" t="str">
        <f t="shared" si="57"/>
        <v xml:space="preserve">Trenggalek, 22-07-1995</v>
      </c>
      <c r="P123" s="219" t="str">
        <f>IFERROR((ENTRI!N123)," ")</f>
        <v>16</v>
      </c>
      <c r="Q123" s="219" t="str">
        <f>IFERROR((ENTRI!O123)," ")</f>
        <v>07</v>
      </c>
      <c r="R123" s="219">
        <f>IFERROR((ENTRI!P123)," ")</f>
        <v>2018</v>
      </c>
      <c r="S123" s="219" t="str">
        <f t="shared" si="58"/>
        <v>16-07-2018</v>
      </c>
      <c r="T123" s="219" t="str">
        <f>IFERROR((ENTRI!Q123)," ")</f>
        <v>16</v>
      </c>
      <c r="U123" s="219" t="str">
        <f>IFERROR((ENTRI!R123)," ")</f>
        <v>07</v>
      </c>
      <c r="V123" s="219">
        <f>IFERROR((ENTRI!S123)," ")</f>
        <v>2018</v>
      </c>
      <c r="W123" s="219" t="str">
        <f t="shared" si="59"/>
        <v>16-07-2018</v>
      </c>
      <c r="X123" s="219">
        <f>IFERROR((ENTRI!T123)," ")</f>
        <v>7</v>
      </c>
      <c r="Y123" s="219">
        <f>IFERROR((ENTRI!U123)," ")</f>
        <v>7</v>
      </c>
      <c r="Z123" s="219">
        <f>IFERROR((ENTRI!V123)," ")</f>
        <v>7</v>
      </c>
      <c r="AA123" s="219">
        <f>IFERROR((ENTRI!W123)," ")</f>
        <v>7</v>
      </c>
      <c r="AB123" s="219" t="str">
        <f>IFERROR((ENTRI!X123)," ")</f>
        <v>S1</v>
      </c>
      <c r="AC123" s="219" t="str">
        <f>IFERROR((ENTRI!Y123)," ")</f>
        <v xml:space="preserve">Pendidikan Ekonomi</v>
      </c>
      <c r="AD123" s="219">
        <f>IFERROR((ENTRI!Z123)," ")</f>
        <v>0</v>
      </c>
      <c r="AE123" s="219">
        <f>IFERROR((ENTRI!AA123)," ")</f>
        <v>0</v>
      </c>
      <c r="AF123" s="219">
        <f>IFERROR((ENTRI!AB123)," ")</f>
        <v>0</v>
      </c>
      <c r="AG123" s="219">
        <f>IFERROR((ENTRI!AC123)," ")</f>
        <v>0</v>
      </c>
      <c r="AH123" s="219">
        <f>IFERROR((ENTRI!AD123)," ")</f>
        <v>0</v>
      </c>
      <c r="AI123" s="219">
        <f>IFERROR((ENTRI!AE123)," ")</f>
        <v>0</v>
      </c>
      <c r="AJ123" s="219">
        <f>IFERROR((ENTRI!AF123)," ")</f>
        <v>0</v>
      </c>
      <c r="AK123" s="219">
        <f>IFERROR((ENTRI!AG123)," ")</f>
        <v>0</v>
      </c>
      <c r="AL123" s="219">
        <f>IFERROR((ENTRI!AH123)," ")</f>
        <v>0</v>
      </c>
      <c r="AM123" s="219">
        <f>IFERROR((ENTRI!AI123)," ")</f>
        <v>0</v>
      </c>
      <c r="AN123" s="219">
        <f>IFERROR((ENTRI!AJ123)," ")</f>
        <v>0</v>
      </c>
      <c r="AO123" s="219">
        <f>IFERROR((ENTRI!AK123)," ")</f>
        <v>0</v>
      </c>
      <c r="AP123" s="219">
        <f>IFERROR((ENTRI!AL123)," ")</f>
        <v>0</v>
      </c>
      <c r="AQ123" s="219">
        <f>IFERROR((ENTRI!AM123)," ")</f>
        <v>0</v>
      </c>
      <c r="AR123" s="216" t="str">
        <f>E123&amp;"."&amp;H123&amp;"."&amp;AW123&amp;"."&amp;ENTRI!$E$4</f>
        <v>03.01.116.2025</v>
      </c>
      <c r="AS123" t="str">
        <f>"YPP.QH/KP.01."&amp;E123&amp;"/"&amp;AW123&amp;"/"&amp;ENTRI!$E$4</f>
        <v>YPP.QH/KP.01.03/116/2025</v>
      </c>
      <c r="AW123" s="277" t="s">
        <v>1011</v>
      </c>
    </row>
    <row r="124">
      <c r="A124">
        <f t="shared" si="53"/>
        <v>111</v>
      </c>
      <c r="B124" s="276">
        <f t="shared" si="55"/>
        <v>2015</v>
      </c>
      <c r="C124" s="277">
        <v>117</v>
      </c>
      <c r="D124" s="219" t="str">
        <f>IFERROR(IF(ENTRI!B124=$AZ$9,$BA$9,IF(ENTRI!B124=$AZ$10,$BA$10,IF(ENTRI!B124=$AZ$11,$BA$11,IF(ENTRI!B124=$AZ$12,$BA$12,IF(ENTRI!B124=$AZ$13,$BA$13,IF(ENTRI!B124=$AZ$14,$BA$14,IF(ENTRI!B124=$AZ$15,$BA$15,IF(ENTRI!B124=$AZ$16,$BA$16,IF(ENTRI!B124=$AZ$17,$BA$17,IF(ENTRI!B124=$AZ$18,$BA$18," "))))))))))," ")</f>
        <v xml:space="preserve">MI Qomarul Hidayah</v>
      </c>
      <c r="E124" s="219" t="str">
        <f>IFERROR((ENTRI!C124)," ")</f>
        <v>03</v>
      </c>
      <c r="F124" s="219">
        <f t="shared" si="56"/>
        <v>111</v>
      </c>
      <c r="G124" s="219" t="str">
        <f>IFERROR((ENTRI!E124)," ")</f>
        <v>Guru</v>
      </c>
      <c r="H124" s="219" t="str">
        <f>IFERROR((ENTRI!F124)," ")</f>
        <v>01</v>
      </c>
      <c r="I124" s="219" t="str">
        <f>IFERROR((ENTRI!G124)," ")</f>
        <v xml:space="preserve">SHINTA ALFANI'MA NUZULITA, S.Pd</v>
      </c>
      <c r="J124" s="219" t="str">
        <f>IFERROR((ENTRI!H124)," ")</f>
        <v xml:space="preserve">19900413  201507 03 01 01</v>
      </c>
      <c r="K124" s="219" t="str">
        <f>IFERROR((ENTRI!I124)," ")</f>
        <v>Jombang</v>
      </c>
      <c r="L124" s="219" t="str">
        <f>IFERROR((ENTRI!J124)," ")</f>
        <v>13</v>
      </c>
      <c r="M124" s="219" t="str">
        <f>IFERROR((ENTRI!K124)," ")</f>
        <v>04</v>
      </c>
      <c r="N124" s="219">
        <f>IFERROR((ENTRI!L124)," ")</f>
        <v>1990</v>
      </c>
      <c r="O124" s="219" t="str">
        <f t="shared" si="57"/>
        <v xml:space="preserve">Jombang, 13-04-1990</v>
      </c>
      <c r="P124" s="219" t="str">
        <f>IFERROR((ENTRI!N124)," ")</f>
        <v>01</v>
      </c>
      <c r="Q124" s="219" t="str">
        <f>IFERROR((ENTRI!O124)," ")</f>
        <v>07</v>
      </c>
      <c r="R124" s="219">
        <f>IFERROR((ENTRI!P124)," ")</f>
        <v>2015</v>
      </c>
      <c r="S124" s="219" t="str">
        <f t="shared" si="58"/>
        <v>01-07-2015</v>
      </c>
      <c r="T124" s="219" t="str">
        <f>IFERROR((ENTRI!Q124)," ")</f>
        <v>01</v>
      </c>
      <c r="U124" s="219" t="str">
        <f>IFERROR((ENTRI!R124)," ")</f>
        <v>07</v>
      </c>
      <c r="V124" s="219">
        <f>IFERROR((ENTRI!S124)," ")</f>
        <v>2015</v>
      </c>
      <c r="W124" s="219" t="str">
        <f t="shared" si="59"/>
        <v>01-07-2015</v>
      </c>
      <c r="X124" s="219">
        <f>IFERROR((ENTRI!T124)," ")</f>
        <v>10</v>
      </c>
      <c r="Y124" s="219">
        <f>IFERROR((ENTRI!U124)," ")</f>
        <v>10</v>
      </c>
      <c r="Z124" s="219">
        <f>IFERROR((ENTRI!V124)," ")</f>
        <v>10</v>
      </c>
      <c r="AA124" s="219">
        <f>IFERROR((ENTRI!W124)," ")</f>
        <v>10</v>
      </c>
      <c r="AB124" s="219" t="str">
        <f>IFERROR((ENTRI!X124)," ")</f>
        <v>S1</v>
      </c>
      <c r="AC124" s="219" t="str">
        <f>IFERROR((ENTRI!Y124)," ")</f>
        <v>PGSD</v>
      </c>
      <c r="AD124" s="219">
        <f>IFERROR((ENTRI!Z124)," ")</f>
        <v>0</v>
      </c>
      <c r="AE124" s="219">
        <f>IFERROR((ENTRI!AA124)," ")</f>
        <v>0</v>
      </c>
      <c r="AF124" s="219">
        <f>IFERROR((ENTRI!AB124)," ")</f>
        <v>0</v>
      </c>
      <c r="AG124" s="219">
        <f>IFERROR((ENTRI!AC124)," ")</f>
        <v>0</v>
      </c>
      <c r="AH124" s="219">
        <f>IFERROR((ENTRI!AD124)," ")</f>
        <v>0</v>
      </c>
      <c r="AI124" s="219">
        <f>IFERROR((ENTRI!AE124)," ")</f>
        <v>0</v>
      </c>
      <c r="AJ124" s="219">
        <f>IFERROR((ENTRI!AF124)," ")</f>
        <v>0</v>
      </c>
      <c r="AK124" s="219">
        <f>IFERROR((ENTRI!AG124)," ")</f>
        <v>0</v>
      </c>
      <c r="AL124" s="219">
        <f>IFERROR((ENTRI!AH124)," ")</f>
        <v>0</v>
      </c>
      <c r="AM124" s="219">
        <f>IFERROR((ENTRI!AI124)," ")</f>
        <v>0</v>
      </c>
      <c r="AN124" s="219">
        <f>IFERROR((ENTRI!AJ124)," ")</f>
        <v>0</v>
      </c>
      <c r="AO124" s="219">
        <f>IFERROR((ENTRI!AK124)," ")</f>
        <v>0</v>
      </c>
      <c r="AP124" s="219">
        <f>IFERROR((ENTRI!AL124)," ")</f>
        <v>0</v>
      </c>
      <c r="AQ124" s="219">
        <f>IFERROR((ENTRI!AM124)," ")</f>
        <v>0</v>
      </c>
      <c r="AR124" s="216" t="str">
        <f>E124&amp;"."&amp;H124&amp;"."&amp;AW124&amp;"."&amp;ENTRI!$E$4</f>
        <v>03.01.117.2025</v>
      </c>
      <c r="AS124" t="str">
        <f>"YPP.QH/KP.01."&amp;E124&amp;"/"&amp;AW124&amp;"/"&amp;ENTRI!$E$4</f>
        <v>YPP.QH/KP.01.03/117/2025</v>
      </c>
      <c r="AW124" s="277" t="s">
        <v>1012</v>
      </c>
    </row>
    <row r="125">
      <c r="A125">
        <f t="shared" si="53"/>
        <v>118</v>
      </c>
      <c r="B125" s="276">
        <f t="shared" si="55"/>
        <v>2018</v>
      </c>
      <c r="C125" s="277">
        <v>118</v>
      </c>
      <c r="D125" s="219" t="str">
        <f>IFERROR(IF(ENTRI!B125=$AZ$9,$BA$9,IF(ENTRI!B125=$AZ$10,$BA$10,IF(ENTRI!B125=$AZ$11,$BA$11,IF(ENTRI!B125=$AZ$12,$BA$12,IF(ENTRI!B125=$AZ$13,$BA$13,IF(ENTRI!B125=$AZ$14,$BA$14,IF(ENTRI!B125=$AZ$15,$BA$15,IF(ENTRI!B125=$AZ$16,$BA$16,IF(ENTRI!B125=$AZ$17,$BA$17,IF(ENTRI!B125=$AZ$18,$BA$18," "))))))))))," ")</f>
        <v xml:space="preserve">MI Qomarul Hidayah</v>
      </c>
      <c r="E125" s="219" t="str">
        <f>IFERROR((ENTRI!C125)," ")</f>
        <v xml:space="preserve"> </v>
      </c>
      <c r="F125" s="219">
        <f t="shared" si="56"/>
        <v>118</v>
      </c>
      <c r="G125" s="219" t="str">
        <f>IFERROR((ENTRI!E125)," ")</f>
        <v xml:space="preserve">Tenaga Kependidikan</v>
      </c>
      <c r="H125" s="219" t="str">
        <f>IFERROR((ENTRI!F125)," ")</f>
        <v xml:space="preserve"> </v>
      </c>
      <c r="I125" s="219" t="str">
        <f>IFERROR((ENTRI!G125)," ")</f>
        <v xml:space="preserve">RIESKA SEVENTINA, S.Pd. </v>
      </c>
      <c r="J125" s="219" t="str">
        <f>IFERROR((ENTRI!H125)," ")</f>
        <v xml:space="preserve">19950507  201801     63</v>
      </c>
      <c r="K125" s="219" t="str">
        <f>IFERROR((ENTRI!I125)," ")</f>
        <v>Trenggalek</v>
      </c>
      <c r="L125" s="219" t="str">
        <f>IFERROR((ENTRI!J125)," ")</f>
        <v>07</v>
      </c>
      <c r="M125" s="219" t="str">
        <f>IFERROR((ENTRI!K125)," ")</f>
        <v>05</v>
      </c>
      <c r="N125" s="219">
        <f>IFERROR((ENTRI!L125)," ")</f>
        <v>1995</v>
      </c>
      <c r="O125" s="219" t="str">
        <f t="shared" si="57"/>
        <v xml:space="preserve">Trenggalek, 07-05-1995</v>
      </c>
      <c r="P125" s="219" t="str">
        <f>IFERROR((ENTRI!N125)," ")</f>
        <v>01</v>
      </c>
      <c r="Q125" s="219" t="str">
        <f>IFERROR((ENTRI!O125)," ")</f>
        <v>01</v>
      </c>
      <c r="R125" s="219">
        <f>IFERROR((ENTRI!P125)," ")</f>
        <v>2018</v>
      </c>
      <c r="S125" s="219" t="str">
        <f t="shared" si="58"/>
        <v>01-01-2018</v>
      </c>
      <c r="T125" s="219" t="str">
        <f>IFERROR((ENTRI!Q125)," ")</f>
        <v>01</v>
      </c>
      <c r="U125" s="219" t="str">
        <f>IFERROR((ENTRI!R125)," ")</f>
        <v>01</v>
      </c>
      <c r="V125" s="219">
        <f>IFERROR((ENTRI!S125)," ")</f>
        <v>2018</v>
      </c>
      <c r="W125" s="219" t="str">
        <f t="shared" si="59"/>
        <v>01-01-2018</v>
      </c>
      <c r="X125" s="219">
        <f>IFERROR((ENTRI!T125)," ")</f>
        <v>7</v>
      </c>
      <c r="Y125" s="219">
        <f>IFERROR((ENTRI!U125)," ")</f>
        <v>7</v>
      </c>
      <c r="Z125" s="219">
        <f>IFERROR((ENTRI!V125)," ")</f>
        <v>7</v>
      </c>
      <c r="AA125" s="219">
        <f>IFERROR((ENTRI!W125)," ")</f>
        <v>7</v>
      </c>
      <c r="AB125" s="219" t="str">
        <f>IFERROR((ENTRI!X125)," ")</f>
        <v>S1</v>
      </c>
      <c r="AC125" s="219" t="str">
        <f>IFERROR((ENTRI!Y125)," ")</f>
        <v>PGMI</v>
      </c>
      <c r="AD125" s="219">
        <f>IFERROR((ENTRI!Z125)," ")</f>
        <v>0</v>
      </c>
      <c r="AE125" s="219">
        <f>IFERROR((ENTRI!AA125)," ")</f>
        <v>0</v>
      </c>
      <c r="AF125" s="219">
        <f>IFERROR((ENTRI!AB125)," ")</f>
        <v>0</v>
      </c>
      <c r="AG125" s="219">
        <f>IFERROR((ENTRI!AC125)," ")</f>
        <v>0</v>
      </c>
      <c r="AH125" s="219">
        <f>IFERROR((ENTRI!AD125)," ")</f>
        <v>0</v>
      </c>
      <c r="AI125" s="219">
        <f>IFERROR((ENTRI!AE125)," ")</f>
        <v>0</v>
      </c>
      <c r="AJ125" s="219">
        <f>IFERROR((ENTRI!AF125)," ")</f>
        <v>0</v>
      </c>
      <c r="AK125" s="219">
        <f>IFERROR((ENTRI!AG125)," ")</f>
        <v>0</v>
      </c>
      <c r="AL125" s="219">
        <f>IFERROR((ENTRI!AH125)," ")</f>
        <v>0</v>
      </c>
      <c r="AM125" s="219">
        <f>IFERROR((ENTRI!AI125)," ")</f>
        <v>0</v>
      </c>
      <c r="AN125" s="219">
        <f>IFERROR((ENTRI!AJ125)," ")</f>
        <v>0</v>
      </c>
      <c r="AO125" s="219">
        <f>IFERROR((ENTRI!AK125)," ")</f>
        <v>0</v>
      </c>
      <c r="AP125" s="219">
        <f>IFERROR((ENTRI!AL125)," ")</f>
        <v>0</v>
      </c>
      <c r="AQ125" s="219">
        <f>IFERROR((ENTRI!AM125)," ")</f>
        <v>0</v>
      </c>
      <c r="AR125" s="216" t="str">
        <f>E125&amp;"."&amp;H125&amp;"."&amp;AW125&amp;"."&amp;ENTRI!$E$4</f>
        <v xml:space="preserve"> . .118.2025</v>
      </c>
      <c r="AS125" t="str">
        <f>"YPP.QH/KP.01."&amp;E125&amp;"/"&amp;AW125&amp;"/"&amp;ENTRI!$E$4</f>
        <v xml:space="preserve">YPP.QH/KP.01. /118/2025</v>
      </c>
      <c r="AW125" s="277" t="s">
        <v>1013</v>
      </c>
    </row>
    <row r="126">
      <c r="A126">
        <f t="shared" si="53"/>
        <v>118</v>
      </c>
      <c r="B126" s="276">
        <f t="shared" si="55"/>
        <v>2018</v>
      </c>
      <c r="C126" s="277">
        <v>119</v>
      </c>
      <c r="D126" s="219" t="str">
        <f>IFERROR(IF(ENTRI!B126=$AZ$9,$BA$9,IF(ENTRI!B126=$AZ$10,$BA$10,IF(ENTRI!B126=$AZ$11,$BA$11,IF(ENTRI!B126=$AZ$12,$BA$12,IF(ENTRI!B126=$AZ$13,$BA$13,IF(ENTRI!B126=$AZ$14,$BA$14,IF(ENTRI!B126=$AZ$15,$BA$15,IF(ENTRI!B126=$AZ$16,$BA$16,IF(ENTRI!B126=$AZ$17,$BA$17,IF(ENTRI!B126=$AZ$18,$BA$18," "))))))))))," ")</f>
        <v xml:space="preserve">SMK Qomarul Hidayah 2 Tugu</v>
      </c>
      <c r="E126" s="219" t="str">
        <f>IFERROR((ENTRI!C126)," ")</f>
        <v xml:space="preserve"> </v>
      </c>
      <c r="F126" s="219">
        <f t="shared" si="56"/>
        <v>118</v>
      </c>
      <c r="G126" s="219" t="str">
        <f>IFERROR((ENTRI!E126)," ")</f>
        <v>Guru</v>
      </c>
      <c r="H126" s="219" t="str">
        <f>IFERROR((ENTRI!F126)," ")</f>
        <v xml:space="preserve"> </v>
      </c>
      <c r="I126" s="219" t="str">
        <f>IFERROR((ENTRI!G126)," ")</f>
        <v xml:space="preserve">FAHLAWENI CAHYANINGRUM, S.Pd.</v>
      </c>
      <c r="J126" s="219" t="str">
        <f>IFERROR((ENTRI!H126)," ")</f>
        <v xml:space="preserve">19961110  201807     65</v>
      </c>
      <c r="K126" s="219" t="str">
        <f>IFERROR((ENTRI!I126)," ")</f>
        <v>Trenggalek</v>
      </c>
      <c r="L126" s="219" t="str">
        <f>IFERROR((ENTRI!J126)," ")</f>
        <v>10</v>
      </c>
      <c r="M126" s="219" t="str">
        <f>IFERROR((ENTRI!K126)," ")</f>
        <v>11</v>
      </c>
      <c r="N126" s="219">
        <f>IFERROR((ENTRI!L126)," ")</f>
        <v>1996</v>
      </c>
      <c r="O126" s="219" t="str">
        <f t="shared" si="57"/>
        <v xml:space="preserve">Trenggalek, 10-11-1996</v>
      </c>
      <c r="P126" s="219" t="str">
        <f>IFERROR((ENTRI!N126)," ")</f>
        <v>16</v>
      </c>
      <c r="Q126" s="219" t="str">
        <f>IFERROR((ENTRI!O126)," ")</f>
        <v>07</v>
      </c>
      <c r="R126" s="219">
        <f>IFERROR((ENTRI!P126)," ")</f>
        <v>2018</v>
      </c>
      <c r="S126" s="219" t="str">
        <f t="shared" si="58"/>
        <v>16-07-2018</v>
      </c>
      <c r="T126" s="219" t="str">
        <f>IFERROR((ENTRI!Q126)," ")</f>
        <v>16</v>
      </c>
      <c r="U126" s="219" t="str">
        <f>IFERROR((ENTRI!R126)," ")</f>
        <v>07</v>
      </c>
      <c r="V126" s="219">
        <f>IFERROR((ENTRI!S126)," ")</f>
        <v>2018</v>
      </c>
      <c r="W126" s="219" t="str">
        <f t="shared" si="59"/>
        <v>16-07-2018</v>
      </c>
      <c r="X126" s="219">
        <f>IFERROR((ENTRI!T126)," ")</f>
        <v>7</v>
      </c>
      <c r="Y126" s="219">
        <f>IFERROR((ENTRI!U126)," ")</f>
        <v>7</v>
      </c>
      <c r="Z126" s="219">
        <f>IFERROR((ENTRI!V126)," ")</f>
        <v>7</v>
      </c>
      <c r="AA126" s="219">
        <f>IFERROR((ENTRI!W126)," ")</f>
        <v>7</v>
      </c>
      <c r="AB126" s="219" t="str">
        <f>IFERROR((ENTRI!X126)," ")</f>
        <v>S1</v>
      </c>
      <c r="AC126" s="219" t="str">
        <f>IFERROR((ENTRI!Y126)," ")</f>
        <v xml:space="preserve">PENDIDIKAN GURU SEKOLAH DASAR</v>
      </c>
      <c r="AD126" s="219">
        <f>IFERROR((ENTRI!Z126)," ")</f>
        <v>0</v>
      </c>
      <c r="AE126" s="219">
        <f>IFERROR((ENTRI!AA126)," ")</f>
        <v>0</v>
      </c>
      <c r="AF126" s="219">
        <f>IFERROR((ENTRI!AB126)," ")</f>
        <v>0</v>
      </c>
      <c r="AG126" s="219">
        <f>IFERROR((ENTRI!AC126)," ")</f>
        <v>0</v>
      </c>
      <c r="AH126" s="219">
        <f>IFERROR((ENTRI!AD126)," ")</f>
        <v>0</v>
      </c>
      <c r="AI126" s="219">
        <f>IFERROR((ENTRI!AE126)," ")</f>
        <v>0</v>
      </c>
      <c r="AJ126" s="219">
        <f>IFERROR((ENTRI!AF126)," ")</f>
        <v>0</v>
      </c>
      <c r="AK126" s="219">
        <f>IFERROR((ENTRI!AG126)," ")</f>
        <v>0</v>
      </c>
      <c r="AL126" s="219">
        <f>IFERROR((ENTRI!AH126)," ")</f>
        <v>0</v>
      </c>
      <c r="AM126" s="219">
        <f>IFERROR((ENTRI!AI126)," ")</f>
        <v>0</v>
      </c>
      <c r="AN126" s="219">
        <f>IFERROR((ENTRI!AJ126)," ")</f>
        <v>0</v>
      </c>
      <c r="AO126" s="219">
        <f>IFERROR((ENTRI!AK126)," ")</f>
        <v>0</v>
      </c>
      <c r="AP126" s="219">
        <f>IFERROR((ENTRI!AL126)," ")</f>
        <v>0</v>
      </c>
      <c r="AQ126" s="219">
        <f>IFERROR((ENTRI!AM126)," ")</f>
        <v>0</v>
      </c>
      <c r="AR126" s="216" t="str">
        <f>E126&amp;"."&amp;H126&amp;"."&amp;AW126&amp;"."&amp;ENTRI!$E$4</f>
        <v xml:space="preserve"> . .119.2025</v>
      </c>
      <c r="AS126" t="str">
        <f>"YPP.QH/KP.01."&amp;E126&amp;"/"&amp;AW126&amp;"/"&amp;ENTRI!$E$4</f>
        <v xml:space="preserve">YPP.QH/KP.01. /119/2025</v>
      </c>
      <c r="AW126" s="277" t="s">
        <v>1014</v>
      </c>
    </row>
    <row r="127">
      <c r="A127">
        <f t="shared" si="53"/>
        <v>146</v>
      </c>
      <c r="B127" s="276">
        <f t="shared" si="55"/>
        <v>2022</v>
      </c>
      <c r="C127" s="277">
        <v>120</v>
      </c>
      <c r="D127" s="219" t="str">
        <f>IFERROR(IF(ENTRI!B127=$AZ$9,$BA$9,IF(ENTRI!B127=$AZ$10,$BA$10,IF(ENTRI!B127=$AZ$11,$BA$11,IF(ENTRI!B127=$AZ$12,$BA$12,IF(ENTRI!B127=$AZ$13,$BA$13,IF(ENTRI!B127=$AZ$14,$BA$14,IF(ENTRI!B127=$AZ$15,$BA$15,IF(ENTRI!B127=$AZ$16,$BA$16,IF(ENTRI!B127=$AZ$17,$BA$17,IF(ENTRI!B127=$AZ$18,$BA$18," "))))))))))," ")</f>
        <v xml:space="preserve"> </v>
      </c>
      <c r="E127" s="219" t="str">
        <f>IFERROR((ENTRI!C127)," ")</f>
        <v xml:space="preserve"> </v>
      </c>
      <c r="F127" s="219">
        <f t="shared" si="56"/>
        <v>146</v>
      </c>
      <c r="G127" s="219" t="str">
        <f>IFERROR((ENTRI!E127)," ")</f>
        <v>Guru</v>
      </c>
      <c r="H127" s="219" t="str">
        <f>IFERROR((ENTRI!F127)," ")</f>
        <v xml:space="preserve"> </v>
      </c>
      <c r="I127" s="219" t="str">
        <f>IFERROR((ENTRI!G127)," ")</f>
        <v xml:space="preserve">MOHAMAD SYAHID, S.H.</v>
      </c>
      <c r="J127" s="219" t="str">
        <f>IFERROR((ENTRI!H127)," ")</f>
        <v xml:space="preserve">19940416  202207     07</v>
      </c>
      <c r="K127" s="219" t="str">
        <f>IFERROR((ENTRI!I127)," ")</f>
        <v>Ponorogo</v>
      </c>
      <c r="L127" s="219" t="str">
        <f>IFERROR((ENTRI!J127)," ")</f>
        <v>16</v>
      </c>
      <c r="M127" s="219" t="str">
        <f>IFERROR((ENTRI!K127)," ")</f>
        <v>04</v>
      </c>
      <c r="N127" s="219">
        <f>IFERROR((ENTRI!L127)," ")</f>
        <v>1994</v>
      </c>
      <c r="O127" s="219" t="str">
        <f t="shared" si="57"/>
        <v xml:space="preserve">Ponorogo, 16-04-1994</v>
      </c>
      <c r="P127" s="219" t="str">
        <f>IFERROR((ENTRI!N127)," ")</f>
        <v>07</v>
      </c>
      <c r="Q127" s="219" t="str">
        <f>IFERROR((ENTRI!O127)," ")</f>
        <v>07</v>
      </c>
      <c r="R127" s="219">
        <f>IFERROR((ENTRI!P127)," ")</f>
        <v>2022</v>
      </c>
      <c r="S127" s="219" t="str">
        <f t="shared" si="58"/>
        <v>07-07-2022</v>
      </c>
      <c r="T127" s="219" t="str">
        <f>IFERROR((ENTRI!Q127)," ")</f>
        <v>07</v>
      </c>
      <c r="U127" s="219" t="str">
        <f>IFERROR((ENTRI!R127)," ")</f>
        <v>07</v>
      </c>
      <c r="V127" s="219">
        <f>IFERROR((ENTRI!S127)," ")</f>
        <v>2022</v>
      </c>
      <c r="W127" s="219" t="str">
        <f t="shared" si="59"/>
        <v>07-07-2022</v>
      </c>
      <c r="X127" s="219">
        <f>IFERROR((ENTRI!T127)," ")</f>
        <v>3</v>
      </c>
      <c r="Y127" s="219">
        <f>IFERROR((ENTRI!U127)," ")</f>
        <v>3</v>
      </c>
      <c r="Z127" s="219">
        <f>IFERROR((ENTRI!V127)," ")</f>
        <v>3</v>
      </c>
      <c r="AA127" s="219">
        <f>IFERROR((ENTRI!W127)," ")</f>
        <v>3</v>
      </c>
      <c r="AB127" s="219" t="str">
        <f>IFERROR((ENTRI!X127)," ")</f>
        <v>S1</v>
      </c>
      <c r="AC127" s="219" t="str">
        <f>IFERROR((ENTRI!Y127)," ")</f>
        <v>HUKUM</v>
      </c>
      <c r="AD127" s="219">
        <f>IFERROR((ENTRI!Z127)," ")</f>
        <v>0</v>
      </c>
      <c r="AE127" s="219">
        <f>IFERROR((ENTRI!AA127)," ")</f>
        <v>0</v>
      </c>
      <c r="AF127" s="219">
        <f>IFERROR((ENTRI!AB127)," ")</f>
        <v>0</v>
      </c>
      <c r="AG127" s="219">
        <f>IFERROR((ENTRI!AC127)," ")</f>
        <v>0</v>
      </c>
      <c r="AH127" s="219">
        <f>IFERROR((ENTRI!AD127)," ")</f>
        <v>0</v>
      </c>
      <c r="AI127" s="219">
        <f>IFERROR((ENTRI!AE127)," ")</f>
        <v>0</v>
      </c>
      <c r="AJ127" s="219">
        <f>IFERROR((ENTRI!AF127)," ")</f>
        <v>0</v>
      </c>
      <c r="AK127" s="219">
        <f>IFERROR((ENTRI!AG127)," ")</f>
        <v>0</v>
      </c>
      <c r="AL127" s="219">
        <f>IFERROR((ENTRI!AH127)," ")</f>
        <v>0</v>
      </c>
      <c r="AM127" s="219">
        <f>IFERROR((ENTRI!AI127)," ")</f>
        <v>0</v>
      </c>
      <c r="AN127" s="219">
        <f>IFERROR((ENTRI!AJ127)," ")</f>
        <v>0</v>
      </c>
      <c r="AO127" s="219">
        <f>IFERROR((ENTRI!AK127)," ")</f>
        <v>0</v>
      </c>
      <c r="AP127" s="219">
        <f>IFERROR((ENTRI!AL127)," ")</f>
        <v>0</v>
      </c>
      <c r="AQ127" s="219">
        <f>IFERROR((ENTRI!AM127)," ")</f>
        <v>0</v>
      </c>
      <c r="AR127" s="216" t="str">
        <f>E127&amp;"."&amp;H127&amp;"."&amp;AW127&amp;"."&amp;ENTRI!$E$4</f>
        <v xml:space="preserve"> . .120.2025</v>
      </c>
      <c r="AS127" t="str">
        <f>"YPP.QH/KP.01."&amp;E127&amp;"/"&amp;AW127&amp;"/"&amp;ENTRI!$E$4</f>
        <v xml:space="preserve">YPP.QH/KP.01. /120/2025</v>
      </c>
      <c r="AW127" s="277" t="s">
        <v>1015</v>
      </c>
    </row>
    <row r="128">
      <c r="A128">
        <f t="shared" si="53"/>
        <v>118</v>
      </c>
      <c r="B128" s="276">
        <f t="shared" si="55"/>
        <v>2018</v>
      </c>
      <c r="C128" s="277">
        <v>121</v>
      </c>
      <c r="D128" s="219" t="str">
        <f>IFERROR(IF(ENTRI!B128=$AZ$9,$BA$9,IF(ENTRI!B128=$AZ$10,$BA$10,IF(ENTRI!B128=$AZ$11,$BA$11,IF(ENTRI!B128=$AZ$12,$BA$12,IF(ENTRI!B128=$AZ$13,$BA$13,IF(ENTRI!B128=$AZ$14,$BA$14,IF(ENTRI!B128=$AZ$15,$BA$15,IF(ENTRI!B128=$AZ$16,$BA$16,IF(ENTRI!B128=$AZ$17,$BA$17,IF(ENTRI!B128=$AZ$18,$BA$18," "))))))))))," ")</f>
        <v xml:space="preserve">SMK Qomarul Hidayah 2 Tugu</v>
      </c>
      <c r="E128" s="219" t="str">
        <f>IFERROR((ENTRI!C128)," ")</f>
        <v xml:space="preserve"> </v>
      </c>
      <c r="F128" s="219">
        <f t="shared" si="56"/>
        <v>118</v>
      </c>
      <c r="G128" s="219" t="str">
        <f>IFERROR((ENTRI!E128)," ")</f>
        <v>Guru</v>
      </c>
      <c r="H128" s="219" t="str">
        <f>IFERROR((ENTRI!F128)," ")</f>
        <v xml:space="preserve"> </v>
      </c>
      <c r="I128" s="219" t="str">
        <f>IFERROR((ENTRI!G128)," ")</f>
        <v xml:space="preserve">ZULFA ANIFATUL CHOIRIYAH</v>
      </c>
      <c r="J128" s="219" t="str">
        <f>IFERROR((ENTRI!H128)," ")</f>
        <v xml:space="preserve">19941023  201807     </v>
      </c>
      <c r="K128" s="219" t="str">
        <f>IFERROR((ENTRI!I128)," ")</f>
        <v>Trenggalek</v>
      </c>
      <c r="L128" s="219" t="str">
        <f>IFERROR((ENTRI!J128)," ")</f>
        <v>23</v>
      </c>
      <c r="M128" s="219" t="str">
        <f>IFERROR((ENTRI!K128)," ")</f>
        <v>10</v>
      </c>
      <c r="N128" s="219">
        <f>IFERROR((ENTRI!L128)," ")</f>
        <v>1994</v>
      </c>
      <c r="O128" s="219" t="str">
        <f t="shared" si="57"/>
        <v xml:space="preserve">Trenggalek, 23-10-1994</v>
      </c>
      <c r="P128" s="219" t="str">
        <f>IFERROR((ENTRI!N128)," ")</f>
        <v>16</v>
      </c>
      <c r="Q128" s="219" t="str">
        <f>IFERROR((ENTRI!O128)," ")</f>
        <v>07</v>
      </c>
      <c r="R128" s="219">
        <f>IFERROR((ENTRI!P128)," ")</f>
        <v>2018</v>
      </c>
      <c r="S128" s="219" t="str">
        <f t="shared" si="58"/>
        <v>16-07-2018</v>
      </c>
      <c r="T128" s="219" t="str">
        <f>IFERROR((ENTRI!Q128)," ")</f>
        <v>16</v>
      </c>
      <c r="U128" s="219" t="str">
        <f>IFERROR((ENTRI!R128)," ")</f>
        <v>07</v>
      </c>
      <c r="V128" s="219">
        <f>IFERROR((ENTRI!S128)," ")</f>
        <v>2018</v>
      </c>
      <c r="W128" s="219" t="str">
        <f t="shared" si="59"/>
        <v>16-07-2018</v>
      </c>
      <c r="X128" s="219">
        <f>IFERROR((ENTRI!T128)," ")</f>
        <v>7</v>
      </c>
      <c r="Y128" s="219">
        <f>IFERROR((ENTRI!U128)," ")</f>
        <v>7</v>
      </c>
      <c r="Z128" s="219">
        <f>IFERROR((ENTRI!V128)," ")</f>
        <v>7</v>
      </c>
      <c r="AA128" s="219">
        <f>IFERROR((ENTRI!W128)," ")</f>
        <v>7</v>
      </c>
      <c r="AB128" s="219" t="str">
        <f>IFERROR((ENTRI!X128)," ")</f>
        <v>S1</v>
      </c>
      <c r="AC128" s="219" t="str">
        <f>IFERROR((ENTRI!Y128)," ")</f>
        <v xml:space="preserve">Pendidikan Kimia</v>
      </c>
      <c r="AD128" s="219">
        <f>IFERROR((ENTRI!Z128)," ")</f>
        <v>0</v>
      </c>
      <c r="AE128" s="219">
        <f>IFERROR((ENTRI!AA128)," ")</f>
        <v>0</v>
      </c>
      <c r="AF128" s="219">
        <f>IFERROR((ENTRI!AB128)," ")</f>
        <v>0</v>
      </c>
      <c r="AG128" s="219">
        <f>IFERROR((ENTRI!AC128)," ")</f>
        <v>0</v>
      </c>
      <c r="AH128" s="219">
        <f>IFERROR((ENTRI!AD128)," ")</f>
        <v>0</v>
      </c>
      <c r="AI128" s="219">
        <f>IFERROR((ENTRI!AE128)," ")</f>
        <v>0</v>
      </c>
      <c r="AJ128" s="219">
        <f>IFERROR((ENTRI!AF128)," ")</f>
        <v>0</v>
      </c>
      <c r="AK128" s="219">
        <f>IFERROR((ENTRI!AG128)," ")</f>
        <v>0</v>
      </c>
      <c r="AL128" s="219">
        <f>IFERROR((ENTRI!AH128)," ")</f>
        <v>0</v>
      </c>
      <c r="AM128" s="219">
        <f>IFERROR((ENTRI!AI128)," ")</f>
        <v>0</v>
      </c>
      <c r="AN128" s="219">
        <f>IFERROR((ENTRI!AJ128)," ")</f>
        <v>0</v>
      </c>
      <c r="AO128" s="219">
        <f>IFERROR((ENTRI!AK128)," ")</f>
        <v>0</v>
      </c>
      <c r="AP128" s="219">
        <f>IFERROR((ENTRI!AL128)," ")</f>
        <v>0</v>
      </c>
      <c r="AQ128" s="219">
        <f>IFERROR((ENTRI!AM128)," ")</f>
        <v>0</v>
      </c>
      <c r="AR128" s="216" t="str">
        <f>E128&amp;"."&amp;H128&amp;"."&amp;AW128&amp;"."&amp;ENTRI!$E$4</f>
        <v xml:space="preserve"> . .121.2025</v>
      </c>
      <c r="AS128" t="str">
        <f>"YPP.QH/KP.01."&amp;E128&amp;"/"&amp;AW128&amp;"/"&amp;ENTRI!$E$4</f>
        <v xml:space="preserve">YPP.QH/KP.01. /121/2025</v>
      </c>
      <c r="AW128" s="277" t="s">
        <v>1016</v>
      </c>
    </row>
    <row r="129">
      <c r="A129">
        <f t="shared" si="53"/>
        <v>118</v>
      </c>
      <c r="B129" s="276">
        <f t="shared" si="55"/>
        <v>2018</v>
      </c>
      <c r="C129" s="277">
        <v>122</v>
      </c>
      <c r="D129" s="219" t="str">
        <f>IFERROR(IF(ENTRI!B129=$AZ$9,$BA$9,IF(ENTRI!B129=$AZ$10,$BA$10,IF(ENTRI!B129=$AZ$11,$BA$11,IF(ENTRI!B129=$AZ$12,$BA$12,IF(ENTRI!B129=$AZ$13,$BA$13,IF(ENTRI!B129=$AZ$14,$BA$14,IF(ENTRI!B129=$AZ$15,$BA$15,IF(ENTRI!B129=$AZ$16,$BA$16,IF(ENTRI!B129=$AZ$17,$BA$17,IF(ENTRI!B129=$AZ$18,$BA$18," "))))))))))," ")</f>
        <v xml:space="preserve">SMK Qomarul Hidayah 2 Tugu</v>
      </c>
      <c r="E129" s="219" t="str">
        <f>IFERROR((ENTRI!C129)," ")</f>
        <v xml:space="preserve"> </v>
      </c>
      <c r="F129" s="219">
        <f t="shared" si="56"/>
        <v>118</v>
      </c>
      <c r="G129" s="219" t="str">
        <f>IFERROR((ENTRI!E129)," ")</f>
        <v>Guru</v>
      </c>
      <c r="H129" s="219" t="str">
        <f>IFERROR((ENTRI!F129)," ")</f>
        <v xml:space="preserve"> </v>
      </c>
      <c r="I129" s="219" t="str">
        <f>IFERROR((ENTRI!G129)," ")</f>
        <v xml:space="preserve">LUCKY AGA PRAUTAMA, S.Pd</v>
      </c>
      <c r="J129" s="219" t="str">
        <f>IFERROR((ENTRI!H129)," ")</f>
        <v xml:space="preserve">19950424  201807     65</v>
      </c>
      <c r="K129" s="219" t="str">
        <f>IFERROR((ENTRI!I129)," ")</f>
        <v>Trenggalek</v>
      </c>
      <c r="L129" s="219" t="str">
        <f>IFERROR((ENTRI!J129)," ")</f>
        <v>24</v>
      </c>
      <c r="M129" s="219" t="str">
        <f>IFERROR((ENTRI!K129)," ")</f>
        <v>04</v>
      </c>
      <c r="N129" s="219">
        <f>IFERROR((ENTRI!L129)," ")</f>
        <v>1995</v>
      </c>
      <c r="O129" s="219" t="str">
        <f t="shared" si="57"/>
        <v xml:space="preserve">Trenggalek, 24-04-1995</v>
      </c>
      <c r="P129" s="219" t="str">
        <f>IFERROR((ENTRI!N129)," ")</f>
        <v>16</v>
      </c>
      <c r="Q129" s="219" t="str">
        <f>IFERROR((ENTRI!O129)," ")</f>
        <v>07</v>
      </c>
      <c r="R129" s="219">
        <f>IFERROR((ENTRI!P129)," ")</f>
        <v>2018</v>
      </c>
      <c r="S129" s="219" t="str">
        <f t="shared" si="58"/>
        <v>16-07-2018</v>
      </c>
      <c r="T129" s="219" t="str">
        <f>IFERROR((ENTRI!Q129)," ")</f>
        <v>16</v>
      </c>
      <c r="U129" s="219" t="str">
        <f>IFERROR((ENTRI!R129)," ")</f>
        <v>07</v>
      </c>
      <c r="V129" s="219">
        <f>IFERROR((ENTRI!S129)," ")</f>
        <v>2018</v>
      </c>
      <c r="W129" s="219" t="str">
        <f t="shared" si="59"/>
        <v>16-07-2018</v>
      </c>
      <c r="X129" s="219">
        <f>IFERROR((ENTRI!T129)," ")</f>
        <v>7</v>
      </c>
      <c r="Y129" s="219">
        <f>IFERROR((ENTRI!U129)," ")</f>
        <v>7</v>
      </c>
      <c r="Z129" s="219">
        <f>IFERROR((ENTRI!V129)," ")</f>
        <v>7</v>
      </c>
      <c r="AA129" s="219">
        <f>IFERROR((ENTRI!W129)," ")</f>
        <v>7</v>
      </c>
      <c r="AB129" s="219" t="str">
        <f>IFERROR((ENTRI!X129)," ")</f>
        <v>S1</v>
      </c>
      <c r="AC129" s="219" t="str">
        <f>IFERROR((ENTRI!Y129)," ")</f>
        <v xml:space="preserve">Pendidikan Pancasila dan Kewarganegaraan</v>
      </c>
      <c r="AD129" s="219">
        <f>IFERROR((ENTRI!Z129)," ")</f>
        <v>0</v>
      </c>
      <c r="AE129" s="219">
        <f>IFERROR((ENTRI!AA129)," ")</f>
        <v>0</v>
      </c>
      <c r="AF129" s="219">
        <f>IFERROR((ENTRI!AB129)," ")</f>
        <v>0</v>
      </c>
      <c r="AG129" s="219">
        <f>IFERROR((ENTRI!AC129)," ")</f>
        <v>0</v>
      </c>
      <c r="AH129" s="219">
        <f>IFERROR((ENTRI!AD129)," ")</f>
        <v>0</v>
      </c>
      <c r="AI129" s="219">
        <f>IFERROR((ENTRI!AE129)," ")</f>
        <v>0</v>
      </c>
      <c r="AJ129" s="219">
        <f>IFERROR((ENTRI!AF129)," ")</f>
        <v>0</v>
      </c>
      <c r="AK129" s="219">
        <f>IFERROR((ENTRI!AG129)," ")</f>
        <v>0</v>
      </c>
      <c r="AL129" s="219">
        <f>IFERROR((ENTRI!AH129)," ")</f>
        <v>0</v>
      </c>
      <c r="AM129" s="219">
        <f>IFERROR((ENTRI!AI129)," ")</f>
        <v>0</v>
      </c>
      <c r="AN129" s="219">
        <f>IFERROR((ENTRI!AJ129)," ")</f>
        <v>0</v>
      </c>
      <c r="AO129" s="219">
        <f>IFERROR((ENTRI!AK129)," ")</f>
        <v>0</v>
      </c>
      <c r="AP129" s="219">
        <f>IFERROR((ENTRI!AL129)," ")</f>
        <v>0</v>
      </c>
      <c r="AQ129" s="219">
        <f>IFERROR((ENTRI!AM129)," ")</f>
        <v>0</v>
      </c>
      <c r="AR129" s="216" t="str">
        <f>E129&amp;"."&amp;H129&amp;"."&amp;AW129&amp;"."&amp;ENTRI!$E$4</f>
        <v xml:space="preserve"> . .122.2025</v>
      </c>
      <c r="AS129" t="str">
        <f>"YPP.QH/KP.01."&amp;E129&amp;"/"&amp;AW129&amp;"/"&amp;ENTRI!$E$4</f>
        <v xml:space="preserve">YPP.QH/KP.01. /122/2025</v>
      </c>
      <c r="AW129" s="277" t="s">
        <v>1017</v>
      </c>
    </row>
    <row r="130">
      <c r="A130">
        <f t="shared" si="53"/>
        <v>118</v>
      </c>
      <c r="B130" s="276">
        <f t="shared" si="55"/>
        <v>2018</v>
      </c>
      <c r="C130" s="277">
        <v>123</v>
      </c>
      <c r="D130" s="219" t="str">
        <f>IFERROR(IF(ENTRI!B130=$AZ$9,$BA$9,IF(ENTRI!B130=$AZ$10,$BA$10,IF(ENTRI!B130=$AZ$11,$BA$11,IF(ENTRI!B130=$AZ$12,$BA$12,IF(ENTRI!B130=$AZ$13,$BA$13,IF(ENTRI!B130=$AZ$14,$BA$14,IF(ENTRI!B130=$AZ$15,$BA$15,IF(ENTRI!B130=$AZ$16,$BA$16,IF(ENTRI!B130=$AZ$17,$BA$17,IF(ENTRI!B130=$AZ$18,$BA$18," "))))))))))," ")</f>
        <v xml:space="preserve">SMK Qomarul Hidayah 2 Tugu</v>
      </c>
      <c r="E130" s="219" t="str">
        <f>IFERROR((ENTRI!C130)," ")</f>
        <v xml:space="preserve"> </v>
      </c>
      <c r="F130" s="219">
        <f t="shared" si="56"/>
        <v>118</v>
      </c>
      <c r="G130" s="219" t="str">
        <f>IFERROR((ENTRI!E130)," ")</f>
        <v>Guru</v>
      </c>
      <c r="H130" s="219" t="str">
        <f>IFERROR((ENTRI!F130)," ")</f>
        <v xml:space="preserve"> </v>
      </c>
      <c r="I130" s="219" t="str">
        <f>IFERROR((ENTRI!G130)," ")</f>
        <v xml:space="preserve">MITA APRILIA WIBAWATI, S.H.</v>
      </c>
      <c r="J130" s="219" t="str">
        <f>IFERROR((ENTRI!H130)," ")</f>
        <v xml:space="preserve">19960430  201807     65</v>
      </c>
      <c r="K130" s="219" t="str">
        <f>IFERROR((ENTRI!I130)," ")</f>
        <v>Trenggalek</v>
      </c>
      <c r="L130" s="219" t="str">
        <f>IFERROR((ENTRI!J130)," ")</f>
        <v>30</v>
      </c>
      <c r="M130" s="219" t="str">
        <f>IFERROR((ENTRI!K130)," ")</f>
        <v>04</v>
      </c>
      <c r="N130" s="219">
        <f>IFERROR((ENTRI!L130)," ")</f>
        <v>1996</v>
      </c>
      <c r="O130" s="219" t="str">
        <f t="shared" si="57"/>
        <v xml:space="preserve">Trenggalek, 30-04-1996</v>
      </c>
      <c r="P130" s="219" t="str">
        <f>IFERROR((ENTRI!N130)," ")</f>
        <v>16</v>
      </c>
      <c r="Q130" s="219" t="str">
        <f>IFERROR((ENTRI!O130)," ")</f>
        <v>07</v>
      </c>
      <c r="R130" s="219">
        <f>IFERROR((ENTRI!P130)," ")</f>
        <v>2018</v>
      </c>
      <c r="S130" s="219" t="str">
        <f t="shared" si="58"/>
        <v>16-07-2018</v>
      </c>
      <c r="T130" s="219" t="str">
        <f>IFERROR((ENTRI!Q130)," ")</f>
        <v>16</v>
      </c>
      <c r="U130" s="219" t="str">
        <f>IFERROR((ENTRI!R130)," ")</f>
        <v>07</v>
      </c>
      <c r="V130" s="219">
        <f>IFERROR((ENTRI!S130)," ")</f>
        <v>2018</v>
      </c>
      <c r="W130" s="219" t="str">
        <f t="shared" si="59"/>
        <v>16-07-2018</v>
      </c>
      <c r="X130" s="219">
        <f>IFERROR((ENTRI!T130)," ")</f>
        <v>7</v>
      </c>
      <c r="Y130" s="219">
        <f>IFERROR((ENTRI!U130)," ")</f>
        <v>7</v>
      </c>
      <c r="Z130" s="219">
        <f>IFERROR((ENTRI!V130)," ")</f>
        <v>7</v>
      </c>
      <c r="AA130" s="219">
        <f>IFERROR((ENTRI!W130)," ")</f>
        <v>7</v>
      </c>
      <c r="AB130" s="219" t="str">
        <f>IFERROR((ENTRI!X130)," ")</f>
        <v>S1</v>
      </c>
      <c r="AC130" s="219" t="str">
        <f>IFERROR((ENTRI!Y130)," ")</f>
        <v xml:space="preserve">Hukum keluarga Islam</v>
      </c>
      <c r="AD130" s="219">
        <f>IFERROR((ENTRI!Z130)," ")</f>
        <v>0</v>
      </c>
      <c r="AE130" s="219">
        <f>IFERROR((ENTRI!AA130)," ")</f>
        <v>0</v>
      </c>
      <c r="AF130" s="219">
        <f>IFERROR((ENTRI!AB130)," ")</f>
        <v>0</v>
      </c>
      <c r="AG130" s="219">
        <f>IFERROR((ENTRI!AC130)," ")</f>
        <v>0</v>
      </c>
      <c r="AH130" s="219">
        <f>IFERROR((ENTRI!AD130)," ")</f>
        <v>0</v>
      </c>
      <c r="AI130" s="219">
        <f>IFERROR((ENTRI!AE130)," ")</f>
        <v>0</v>
      </c>
      <c r="AJ130" s="219">
        <f>IFERROR((ENTRI!AF130)," ")</f>
        <v>0</v>
      </c>
      <c r="AK130" s="219">
        <f>IFERROR((ENTRI!AG130)," ")</f>
        <v>0</v>
      </c>
      <c r="AL130" s="219">
        <f>IFERROR((ENTRI!AH130)," ")</f>
        <v>0</v>
      </c>
      <c r="AM130" s="219">
        <f>IFERROR((ENTRI!AI130)," ")</f>
        <v>0</v>
      </c>
      <c r="AN130" s="219">
        <f>IFERROR((ENTRI!AJ130)," ")</f>
        <v>0</v>
      </c>
      <c r="AO130" s="219">
        <f>IFERROR((ENTRI!AK130)," ")</f>
        <v>0</v>
      </c>
      <c r="AP130" s="219">
        <f>IFERROR((ENTRI!AL130)," ")</f>
        <v>0</v>
      </c>
      <c r="AQ130" s="219">
        <f>IFERROR((ENTRI!AM130)," ")</f>
        <v>0</v>
      </c>
      <c r="AR130" s="216" t="str">
        <f>E130&amp;"."&amp;H130&amp;"."&amp;AW130&amp;"."&amp;ENTRI!$E$4</f>
        <v xml:space="preserve"> . .123.2025</v>
      </c>
      <c r="AS130" t="str">
        <f>"YPP.QH/KP.01."&amp;E130&amp;"/"&amp;AW130&amp;"/"&amp;ENTRI!$E$4</f>
        <v xml:space="preserve">YPP.QH/KP.01. /123/2025</v>
      </c>
      <c r="AW130" s="277" t="s">
        <v>1018</v>
      </c>
    </row>
    <row r="131">
      <c r="A131">
        <f t="shared" si="53"/>
        <v>163</v>
      </c>
      <c r="B131" s="276">
        <f t="shared" si="55"/>
        <v>2024</v>
      </c>
      <c r="C131" s="277">
        <v>124</v>
      </c>
      <c r="D131" s="219" t="str">
        <f>IFERROR(IF(ENTRI!B131=$AZ$9,$BA$9,IF(ENTRI!B131=$AZ$10,$BA$10,IF(ENTRI!B131=$AZ$11,$BA$11,IF(ENTRI!B131=$AZ$12,$BA$12,IF(ENTRI!B131=$AZ$13,$BA$13,IF(ENTRI!B131=$AZ$14,$BA$14,IF(ENTRI!B131=$AZ$15,$BA$15,IF(ENTRI!B131=$AZ$16,$BA$16,IF(ENTRI!B131=$AZ$17,$BA$17,IF(ENTRI!B131=$AZ$18,$BA$18," "))))))))))," ")</f>
        <v xml:space="preserve">SMK Qomarul Hidayah 2 Tugu</v>
      </c>
      <c r="E131" s="219" t="str">
        <f>IFERROR((ENTRI!C131)," ")</f>
        <v>07</v>
      </c>
      <c r="F131" s="219">
        <f t="shared" si="56"/>
        <v>163</v>
      </c>
      <c r="G131" s="219" t="str">
        <f>IFERROR((ENTRI!E131)," ")</f>
        <v>Guru</v>
      </c>
      <c r="H131" s="219" t="str">
        <f>IFERROR((ENTRI!F131)," ")</f>
        <v>01</v>
      </c>
      <c r="I131" s="219" t="str">
        <f>IFERROR((ENTRI!G131)," ")</f>
        <v xml:space="preserve">NUR RAKHMAD DIANA, S.Ag.</v>
      </c>
      <c r="J131" s="219" t="str">
        <f>IFERROR((ENTRI!H131)," ")</f>
        <v xml:space="preserve">19980709  202407 07 01 02</v>
      </c>
      <c r="K131" s="219" t="str">
        <f>IFERROR((ENTRI!I131)," ")</f>
        <v>Trenggalek</v>
      </c>
      <c r="L131" s="219" t="str">
        <f>IFERROR((ENTRI!J131)," ")</f>
        <v>09</v>
      </c>
      <c r="M131" s="219" t="str">
        <f>IFERROR((ENTRI!K131)," ")</f>
        <v>07</v>
      </c>
      <c r="N131" s="219">
        <f>IFERROR((ENTRI!L131)," ")</f>
        <v>1998</v>
      </c>
      <c r="O131" s="219" t="str">
        <f t="shared" si="57"/>
        <v xml:space="preserve">Trenggalek, 09-07-1998</v>
      </c>
      <c r="P131" s="219" t="str">
        <f>IFERROR((ENTRI!N131)," ")</f>
        <v>15</v>
      </c>
      <c r="Q131" s="219" t="str">
        <f>IFERROR((ENTRI!O131)," ")</f>
        <v>07</v>
      </c>
      <c r="R131" s="219">
        <f>IFERROR((ENTRI!P131)," ")</f>
        <v>2024</v>
      </c>
      <c r="S131" s="219" t="str">
        <f t="shared" si="58"/>
        <v>15-07-2024</v>
      </c>
      <c r="T131" s="219" t="str">
        <f>IFERROR((ENTRI!Q131)," ")</f>
        <v>15</v>
      </c>
      <c r="U131" s="219" t="str">
        <f>IFERROR((ENTRI!R131)," ")</f>
        <v>07</v>
      </c>
      <c r="V131" s="219">
        <f>IFERROR((ENTRI!S131)," ")</f>
        <v>2024</v>
      </c>
      <c r="W131" s="219" t="str">
        <f t="shared" si="59"/>
        <v>15-07-2024</v>
      </c>
      <c r="X131" s="219">
        <f>IFERROR((ENTRI!T131)," ")</f>
        <v>1</v>
      </c>
      <c r="Y131" s="219">
        <f>IFERROR((ENTRI!U131)," ")</f>
        <v>1</v>
      </c>
      <c r="Z131" s="219">
        <f>IFERROR((ENTRI!V131)," ")</f>
        <v>1</v>
      </c>
      <c r="AA131" s="219">
        <f>IFERROR((ENTRI!W131)," ")</f>
        <v>1</v>
      </c>
      <c r="AB131" s="219" t="str">
        <f>IFERROR((ENTRI!X131)," ")</f>
        <v>S1</v>
      </c>
      <c r="AC131" s="219" t="str">
        <f>IFERROR((ENTRI!Y131)," ")</f>
        <v xml:space="preserve">Tasawuf dan Psikoterapi</v>
      </c>
      <c r="AD131" s="219">
        <f>IFERROR((ENTRI!Z131)," ")</f>
        <v>0</v>
      </c>
      <c r="AE131" s="219">
        <f>IFERROR((ENTRI!AA131)," ")</f>
        <v>0</v>
      </c>
      <c r="AF131" s="219">
        <f>IFERROR((ENTRI!AB131)," ")</f>
        <v>0</v>
      </c>
      <c r="AG131" s="219">
        <f>IFERROR((ENTRI!AC131)," ")</f>
        <v>0</v>
      </c>
      <c r="AH131" s="219">
        <f>IFERROR((ENTRI!AD131)," ")</f>
        <v>0</v>
      </c>
      <c r="AI131" s="219">
        <f>IFERROR((ENTRI!AE131)," ")</f>
        <v>0</v>
      </c>
      <c r="AJ131" s="219">
        <f>IFERROR((ENTRI!AF131)," ")</f>
        <v>0</v>
      </c>
      <c r="AK131" s="219">
        <f>IFERROR((ENTRI!AG131)," ")</f>
        <v>0</v>
      </c>
      <c r="AL131" s="219">
        <f>IFERROR((ENTRI!AH131)," ")</f>
        <v>0</v>
      </c>
      <c r="AM131" s="219">
        <f>IFERROR((ENTRI!AI131)," ")</f>
        <v>0</v>
      </c>
      <c r="AN131" s="219">
        <f>IFERROR((ENTRI!AJ131)," ")</f>
        <v>0</v>
      </c>
      <c r="AO131" s="219">
        <f>IFERROR((ENTRI!AK131)," ")</f>
        <v>0</v>
      </c>
      <c r="AP131" s="219">
        <f>IFERROR((ENTRI!AL131)," ")</f>
        <v>0</v>
      </c>
      <c r="AQ131" s="219">
        <f>IFERROR((ENTRI!AM131)," ")</f>
        <v>0</v>
      </c>
      <c r="AR131" s="216" t="str">
        <f>E131&amp;"."&amp;H131&amp;"."&amp;AW131&amp;"."&amp;ENTRI!$E$4</f>
        <v>07.01.124.2025</v>
      </c>
      <c r="AS131" t="str">
        <f>"YPP.QH/KP.01."&amp;E131&amp;"/"&amp;AW131&amp;"/"&amp;ENTRI!$E$4</f>
        <v>YPP.QH/KP.01.07/124/2025</v>
      </c>
      <c r="AW131" s="277" t="s">
        <v>1019</v>
      </c>
    </row>
    <row r="132">
      <c r="A132">
        <f t="shared" si="53"/>
        <v>126</v>
      </c>
      <c r="B132" s="276">
        <f t="shared" si="55"/>
        <v>2019</v>
      </c>
      <c r="C132" s="277">
        <v>125</v>
      </c>
      <c r="D132" s="219" t="str">
        <f>IFERROR(IF(ENTRI!B132=$AZ$9,$BA$9,IF(ENTRI!B132=$AZ$10,$BA$10,IF(ENTRI!B132=$AZ$11,$BA$11,IF(ENTRI!B132=$AZ$12,$BA$12,IF(ENTRI!B132=$AZ$13,$BA$13,IF(ENTRI!B132=$AZ$14,$BA$14,IF(ENTRI!B132=$AZ$15,$BA$15,IF(ENTRI!B132=$AZ$16,$BA$16,IF(ENTRI!B132=$AZ$17,$BA$17,IF(ENTRI!B132=$AZ$18,$BA$18," "))))))))))," ")</f>
        <v xml:space="preserve">SMK Qomarul Hidayah 2 Tugu</v>
      </c>
      <c r="E132" s="219" t="str">
        <f>IFERROR((ENTRI!C132)," ")</f>
        <v>07</v>
      </c>
      <c r="F132" s="219">
        <f t="shared" si="56"/>
        <v>126</v>
      </c>
      <c r="G132" s="219" t="str">
        <f>IFERROR((ENTRI!E132)," ")</f>
        <v>Guru</v>
      </c>
      <c r="H132" s="219" t="str">
        <f>IFERROR((ENTRI!F132)," ")</f>
        <v>01</v>
      </c>
      <c r="I132" s="219" t="str">
        <f>IFERROR((ENTRI!G132)," ")</f>
        <v xml:space="preserve">PUTRI KUSNUL KHOTIMAH, SE</v>
      </c>
      <c r="J132" s="219" t="str">
        <f>IFERROR((ENTRI!H132)," ")</f>
        <v xml:space="preserve">19980626  201907 07 01 62</v>
      </c>
      <c r="K132" s="219" t="str">
        <f>IFERROR((ENTRI!I132)," ")</f>
        <v>Trenggalek</v>
      </c>
      <c r="L132" s="219" t="str">
        <f>IFERROR((ENTRI!J132)," ")</f>
        <v>26</v>
      </c>
      <c r="M132" s="219" t="str">
        <f>IFERROR((ENTRI!K132)," ")</f>
        <v>06</v>
      </c>
      <c r="N132" s="219">
        <f>IFERROR((ENTRI!L132)," ")</f>
        <v>1998</v>
      </c>
      <c r="O132" s="219" t="str">
        <f t="shared" si="57"/>
        <v xml:space="preserve">Trenggalek, 26-06-1998</v>
      </c>
      <c r="P132" s="219" t="str">
        <f>IFERROR((ENTRI!N132)," ")</f>
        <v>16</v>
      </c>
      <c r="Q132" s="219" t="str">
        <f>IFERROR((ENTRI!O132)," ")</f>
        <v>07</v>
      </c>
      <c r="R132" s="219">
        <f>IFERROR((ENTRI!P132)," ")</f>
        <v>2019</v>
      </c>
      <c r="S132" s="219" t="str">
        <f t="shared" si="58"/>
        <v>16-07-2019</v>
      </c>
      <c r="T132" s="219" t="str">
        <f>IFERROR((ENTRI!Q132)," ")</f>
        <v>16</v>
      </c>
      <c r="U132" s="219" t="str">
        <f>IFERROR((ENTRI!R132)," ")</f>
        <v>07</v>
      </c>
      <c r="V132" s="219">
        <f>IFERROR((ENTRI!S132)," ")</f>
        <v>2019</v>
      </c>
      <c r="W132" s="219" t="str">
        <f t="shared" si="59"/>
        <v>16-07-2019</v>
      </c>
      <c r="X132" s="219">
        <f>IFERROR((ENTRI!T132)," ")</f>
        <v>6</v>
      </c>
      <c r="Y132" s="219">
        <f>IFERROR((ENTRI!U132)," ")</f>
        <v>6</v>
      </c>
      <c r="Z132" s="219">
        <f>IFERROR((ENTRI!V132)," ")</f>
        <v>6</v>
      </c>
      <c r="AA132" s="219">
        <f>IFERROR((ENTRI!W132)," ")</f>
        <v>6</v>
      </c>
      <c r="AB132" s="219" t="str">
        <f>IFERROR((ENTRI!X132)," ")</f>
        <v>S1</v>
      </c>
      <c r="AC132" s="219" t="str">
        <f>IFERROR((ENTRI!Y132)," ")</f>
        <v xml:space="preserve">Perbankan Syariah</v>
      </c>
      <c r="AD132" s="219">
        <f>IFERROR((ENTRI!Z132)," ")</f>
        <v>0</v>
      </c>
      <c r="AE132" s="219">
        <f>IFERROR((ENTRI!AA132)," ")</f>
        <v>0</v>
      </c>
      <c r="AF132" s="219">
        <f>IFERROR((ENTRI!AB132)," ")</f>
        <v>0</v>
      </c>
      <c r="AG132" s="219">
        <f>IFERROR((ENTRI!AC132)," ")</f>
        <v>0</v>
      </c>
      <c r="AH132" s="219">
        <f>IFERROR((ENTRI!AD132)," ")</f>
        <v>0</v>
      </c>
      <c r="AI132" s="219">
        <f>IFERROR((ENTRI!AE132)," ")</f>
        <v>0</v>
      </c>
      <c r="AJ132" s="219">
        <f>IFERROR((ENTRI!AF132)," ")</f>
        <v>0</v>
      </c>
      <c r="AK132" s="219">
        <f>IFERROR((ENTRI!AG132)," ")</f>
        <v>0</v>
      </c>
      <c r="AL132" s="219">
        <f>IFERROR((ENTRI!AH132)," ")</f>
        <v>0</v>
      </c>
      <c r="AM132" s="219">
        <f>IFERROR((ENTRI!AI132)," ")</f>
        <v>0</v>
      </c>
      <c r="AN132" s="219">
        <f>IFERROR((ENTRI!AJ132)," ")</f>
        <v>0</v>
      </c>
      <c r="AO132" s="219">
        <f>IFERROR((ENTRI!AK132)," ")</f>
        <v>0</v>
      </c>
      <c r="AP132" s="219">
        <f>IFERROR((ENTRI!AL132)," ")</f>
        <v>0</v>
      </c>
      <c r="AQ132" s="219">
        <f>IFERROR((ENTRI!AM132)," ")</f>
        <v>0</v>
      </c>
      <c r="AR132" s="216" t="str">
        <f>E132&amp;"."&amp;H132&amp;"."&amp;AW132&amp;"."&amp;ENTRI!$E$4</f>
        <v>07.01.125.2025</v>
      </c>
      <c r="AS132" t="str">
        <f>"YPP.QH/KP.01."&amp;E132&amp;"/"&amp;AW132&amp;"/"&amp;ENTRI!$E$4</f>
        <v>YPP.QH/KP.01.07/125/2025</v>
      </c>
      <c r="AW132" s="277" t="s">
        <v>1020</v>
      </c>
    </row>
    <row r="133">
      <c r="A133">
        <f t="shared" si="53"/>
        <v>126</v>
      </c>
      <c r="B133" s="276">
        <f t="shared" si="55"/>
        <v>2019</v>
      </c>
      <c r="C133" s="277">
        <v>126</v>
      </c>
      <c r="D133" s="219" t="str">
        <f>IFERROR(IF(ENTRI!B133=$AZ$9,$BA$9,IF(ENTRI!B133=$AZ$10,$BA$10,IF(ENTRI!B133=$AZ$11,$BA$11,IF(ENTRI!B133=$AZ$12,$BA$12,IF(ENTRI!B133=$AZ$13,$BA$13,IF(ENTRI!B133=$AZ$14,$BA$14,IF(ENTRI!B133=$AZ$15,$BA$15,IF(ENTRI!B133=$AZ$16,$BA$16,IF(ENTRI!B133=$AZ$17,$BA$17,IF(ENTRI!B133=$AZ$18,$BA$18," "))))))))))," ")</f>
        <v xml:space="preserve">MTs Qomarul Hidayah</v>
      </c>
      <c r="E133" s="219" t="str">
        <f>IFERROR((ENTRI!C133)," ")</f>
        <v>04</v>
      </c>
      <c r="F133" s="219">
        <f t="shared" si="56"/>
        <v>126</v>
      </c>
      <c r="G133" s="219" t="str">
        <f>IFERROR((ENTRI!E133)," ")</f>
        <v>Guru</v>
      </c>
      <c r="H133" s="219" t="str">
        <f>IFERROR((ENTRI!F133)," ")</f>
        <v>01</v>
      </c>
      <c r="I133" s="219" t="str">
        <f>IFERROR((ENTRI!G133)," ")</f>
        <v xml:space="preserve">NIKEN DWI ARTES HAJARMANGU,S.Pd</v>
      </c>
      <c r="J133" s="219" t="str">
        <f>IFERROR((ENTRI!H133)," ")</f>
        <v xml:space="preserve">19920730  201907 04 01 01</v>
      </c>
      <c r="K133" s="219" t="str">
        <f>IFERROR((ENTRI!I133)," ")</f>
        <v>Trenggalek</v>
      </c>
      <c r="L133" s="219" t="str">
        <f>IFERROR((ENTRI!J133)," ")</f>
        <v>30</v>
      </c>
      <c r="M133" s="219" t="str">
        <f>IFERROR((ENTRI!K133)," ")</f>
        <v>07</v>
      </c>
      <c r="N133" s="219">
        <f>IFERROR((ENTRI!L133)," ")</f>
        <v>1992</v>
      </c>
      <c r="O133" s="219" t="str">
        <f t="shared" si="57"/>
        <v xml:space="preserve">Trenggalek, 30-07-1992</v>
      </c>
      <c r="P133" s="219" t="str">
        <f>IFERROR((ENTRI!N133)," ")</f>
        <v>15</v>
      </c>
      <c r="Q133" s="219" t="str">
        <f>IFERROR((ENTRI!O133)," ")</f>
        <v>07</v>
      </c>
      <c r="R133" s="219">
        <f>IFERROR((ENTRI!P133)," ")</f>
        <v>2019</v>
      </c>
      <c r="S133" s="219" t="str">
        <f t="shared" si="58"/>
        <v>15-07-2019</v>
      </c>
      <c r="T133" s="219" t="str">
        <f>IFERROR((ENTRI!Q133)," ")</f>
        <v>15</v>
      </c>
      <c r="U133" s="219" t="str">
        <f>IFERROR((ENTRI!R133)," ")</f>
        <v>07</v>
      </c>
      <c r="V133" s="219">
        <f>IFERROR((ENTRI!S133)," ")</f>
        <v>2019</v>
      </c>
      <c r="W133" s="219" t="str">
        <f t="shared" si="59"/>
        <v>15-07-2019</v>
      </c>
      <c r="X133" s="219">
        <f>IFERROR((ENTRI!T133)," ")</f>
        <v>6</v>
      </c>
      <c r="Y133" s="219">
        <f>IFERROR((ENTRI!U133)," ")</f>
        <v>6</v>
      </c>
      <c r="Z133" s="219">
        <f>IFERROR((ENTRI!V133)," ")</f>
        <v>6</v>
      </c>
      <c r="AA133" s="219">
        <f>IFERROR((ENTRI!W133)," ")</f>
        <v>6</v>
      </c>
      <c r="AB133" s="219" t="str">
        <f>IFERROR((ENTRI!X133)," ")</f>
        <v>S1</v>
      </c>
      <c r="AC133" s="219" t="str">
        <f>IFERROR((ENTRI!Y133)," ")</f>
        <v xml:space="preserve">Pendidikan Matematika</v>
      </c>
      <c r="AD133" s="219">
        <f>IFERROR((ENTRI!Z133)," ")</f>
        <v>0</v>
      </c>
      <c r="AE133" s="219">
        <f>IFERROR((ENTRI!AA133)," ")</f>
        <v>0</v>
      </c>
      <c r="AF133" s="219">
        <f>IFERROR((ENTRI!AB133)," ")</f>
        <v>0</v>
      </c>
      <c r="AG133" s="219">
        <f>IFERROR((ENTRI!AC133)," ")</f>
        <v>0</v>
      </c>
      <c r="AH133" s="219">
        <f>IFERROR((ENTRI!AD133)," ")</f>
        <v>0</v>
      </c>
      <c r="AI133" s="219">
        <f>IFERROR((ENTRI!AE133)," ")</f>
        <v>0</v>
      </c>
      <c r="AJ133" s="219">
        <f>IFERROR((ENTRI!AF133)," ")</f>
        <v>0</v>
      </c>
      <c r="AK133" s="219">
        <f>IFERROR((ENTRI!AG133)," ")</f>
        <v>0</v>
      </c>
      <c r="AL133" s="219">
        <f>IFERROR((ENTRI!AH133)," ")</f>
        <v>0</v>
      </c>
      <c r="AM133" s="219">
        <f>IFERROR((ENTRI!AI133)," ")</f>
        <v>0</v>
      </c>
      <c r="AN133" s="219">
        <f>IFERROR((ENTRI!AJ133)," ")</f>
        <v>0</v>
      </c>
      <c r="AO133" s="219">
        <f>IFERROR((ENTRI!AK133)," ")</f>
        <v>0</v>
      </c>
      <c r="AP133" s="219">
        <f>IFERROR((ENTRI!AL133)," ")</f>
        <v>0</v>
      </c>
      <c r="AQ133" s="219">
        <f>IFERROR((ENTRI!AM133)," ")</f>
        <v>0</v>
      </c>
      <c r="AR133" s="216" t="str">
        <f>E133&amp;"."&amp;H133&amp;"."&amp;AW133&amp;"."&amp;ENTRI!$E$4</f>
        <v>04.01.126.2025</v>
      </c>
      <c r="AS133" t="str">
        <f>"YPP.QH/KP.01."&amp;E133&amp;"/"&amp;AW133&amp;"/"&amp;ENTRI!$E$4</f>
        <v>YPP.QH/KP.01.04/126/2025</v>
      </c>
      <c r="AW133" s="277" t="s">
        <v>1021</v>
      </c>
    </row>
    <row r="134">
      <c r="A134">
        <f t="shared" si="53"/>
        <v>133</v>
      </c>
      <c r="B134" s="276">
        <f t="shared" si="55"/>
        <v>2020</v>
      </c>
      <c r="C134" s="277">
        <v>127</v>
      </c>
      <c r="D134" s="219" t="str">
        <f>IFERROR(IF(ENTRI!B134=$AZ$9,$BA$9,IF(ENTRI!B134=$AZ$10,$BA$10,IF(ENTRI!B134=$AZ$11,$BA$11,IF(ENTRI!B134=$AZ$12,$BA$12,IF(ENTRI!B134=$AZ$13,$BA$13,IF(ENTRI!B134=$AZ$14,$BA$14,IF(ENTRI!B134=$AZ$15,$BA$15,IF(ENTRI!B134=$AZ$16,$BA$16,IF(ENTRI!B134=$AZ$17,$BA$17,IF(ENTRI!B134=$AZ$18,$BA$18," "))))))))))," ")</f>
        <v xml:space="preserve">MTs Qomarul Hidayah</v>
      </c>
      <c r="E134" s="219" t="str">
        <f>IFERROR((ENTRI!C134)," ")</f>
        <v>04</v>
      </c>
      <c r="F134" s="219">
        <f t="shared" si="56"/>
        <v>133</v>
      </c>
      <c r="G134" s="219" t="str">
        <f>IFERROR((ENTRI!E134)," ")</f>
        <v>Guru</v>
      </c>
      <c r="H134" s="219" t="str">
        <f>IFERROR((ENTRI!F134)," ")</f>
        <v>01</v>
      </c>
      <c r="I134" s="219" t="str">
        <f>IFERROR((ENTRI!G134)," ")</f>
        <v xml:space="preserve">M. LUMATUL MUARIF,M.Pd.</v>
      </c>
      <c r="J134" s="219" t="str">
        <f>IFERROR((ENTRI!H134)," ")</f>
        <v xml:space="preserve">19960929  202007 04 01 01</v>
      </c>
      <c r="K134" s="219" t="str">
        <f>IFERROR((ENTRI!I134)," ")</f>
        <v xml:space="preserve">Oku Timur</v>
      </c>
      <c r="L134" s="219" t="str">
        <f>IFERROR((ENTRI!J134)," ")</f>
        <v>29</v>
      </c>
      <c r="M134" s="219" t="str">
        <f>IFERROR((ENTRI!K134)," ")</f>
        <v>09</v>
      </c>
      <c r="N134" s="219">
        <f>IFERROR((ENTRI!L134)," ")</f>
        <v>1996</v>
      </c>
      <c r="O134" s="219" t="str">
        <f t="shared" si="57"/>
        <v xml:space="preserve">Oku Timur, 29-09-1996</v>
      </c>
      <c r="P134" s="219" t="str">
        <f>IFERROR((ENTRI!N134)," ")</f>
        <v>01</v>
      </c>
      <c r="Q134" s="219" t="str">
        <f>IFERROR((ENTRI!O134)," ")</f>
        <v>07</v>
      </c>
      <c r="R134" s="219">
        <f>IFERROR((ENTRI!P134)," ")</f>
        <v>2020</v>
      </c>
      <c r="S134" s="219" t="str">
        <f t="shared" si="58"/>
        <v>01-07-2020</v>
      </c>
      <c r="T134" s="219" t="str">
        <f>IFERROR((ENTRI!Q134)," ")</f>
        <v>01</v>
      </c>
      <c r="U134" s="219" t="str">
        <f>IFERROR((ENTRI!R134)," ")</f>
        <v>07</v>
      </c>
      <c r="V134" s="219">
        <f>IFERROR((ENTRI!S134)," ")</f>
        <v>2020</v>
      </c>
      <c r="W134" s="219" t="str">
        <f t="shared" si="59"/>
        <v>01-07-2020</v>
      </c>
      <c r="X134" s="219">
        <f>IFERROR((ENTRI!T134)," ")</f>
        <v>5</v>
      </c>
      <c r="Y134" s="219">
        <f>IFERROR((ENTRI!U134)," ")</f>
        <v>5</v>
      </c>
      <c r="Z134" s="219">
        <f>IFERROR((ENTRI!V134)," ")</f>
        <v>5</v>
      </c>
      <c r="AA134" s="219">
        <f>IFERROR((ENTRI!W134)," ")</f>
        <v>5</v>
      </c>
      <c r="AB134" s="219" t="str">
        <f>IFERROR((ENTRI!X134)," ")</f>
        <v>S2</v>
      </c>
      <c r="AC134" s="219" t="str">
        <f>IFERROR((ENTRI!Y134)," ")</f>
        <v xml:space="preserve">MANAGEMEN PENDIDIKAN  ISLAM</v>
      </c>
      <c r="AD134" s="219">
        <f>IFERROR((ENTRI!Z134)," ")</f>
        <v>0</v>
      </c>
      <c r="AE134" s="219">
        <f>IFERROR((ENTRI!AA134)," ")</f>
        <v>0</v>
      </c>
      <c r="AF134" s="219">
        <f>IFERROR((ENTRI!AB134)," ")</f>
        <v>0</v>
      </c>
      <c r="AG134" s="219">
        <f>IFERROR((ENTRI!AC134)," ")</f>
        <v>0</v>
      </c>
      <c r="AH134" s="219">
        <f>IFERROR((ENTRI!AD134)," ")</f>
        <v>0</v>
      </c>
      <c r="AI134" s="219">
        <f>IFERROR((ENTRI!AE134)," ")</f>
        <v>0</v>
      </c>
      <c r="AJ134" s="219">
        <f>IFERROR((ENTRI!AF134)," ")</f>
        <v>0</v>
      </c>
      <c r="AK134" s="219">
        <f>IFERROR((ENTRI!AG134)," ")</f>
        <v>0</v>
      </c>
      <c r="AL134" s="219">
        <f>IFERROR((ENTRI!AH134)," ")</f>
        <v>0</v>
      </c>
      <c r="AM134" s="219">
        <f>IFERROR((ENTRI!AI134)," ")</f>
        <v>0</v>
      </c>
      <c r="AN134" s="219">
        <f>IFERROR((ENTRI!AJ134)," ")</f>
        <v>0</v>
      </c>
      <c r="AO134" s="219">
        <f>IFERROR((ENTRI!AK134)," ")</f>
        <v>0</v>
      </c>
      <c r="AP134" s="219">
        <f>IFERROR((ENTRI!AL134)," ")</f>
        <v>0</v>
      </c>
      <c r="AQ134" s="219">
        <f>IFERROR((ENTRI!AM134)," ")</f>
        <v>0</v>
      </c>
      <c r="AR134" s="216" t="str">
        <f>E134&amp;"."&amp;H134&amp;"."&amp;AW134&amp;"."&amp;ENTRI!$E$4</f>
        <v>04.01.127.2025</v>
      </c>
      <c r="AS134" t="str">
        <f>"YPP.QH/KP.01."&amp;E134&amp;"/"&amp;AW134&amp;"/"&amp;ENTRI!$E$4</f>
        <v>YPP.QH/KP.01.04/127/2025</v>
      </c>
      <c r="AW134" s="277" t="s">
        <v>1022</v>
      </c>
    </row>
    <row r="135">
      <c r="A135">
        <f t="shared" si="53"/>
        <v>126</v>
      </c>
      <c r="B135" s="276">
        <f t="shared" si="55"/>
        <v>2019</v>
      </c>
      <c r="C135" s="277">
        <v>128</v>
      </c>
      <c r="D135" s="219" t="str">
        <f>IFERROR(IF(ENTRI!B135=$AZ$9,$BA$9,IF(ENTRI!B135=$AZ$10,$BA$10,IF(ENTRI!B135=$AZ$11,$BA$11,IF(ENTRI!B135=$AZ$12,$BA$12,IF(ENTRI!B135=$AZ$13,$BA$13,IF(ENTRI!B135=$AZ$14,$BA$14,IF(ENTRI!B135=$AZ$15,$BA$15,IF(ENTRI!B135=$AZ$16,$BA$16,IF(ENTRI!B135=$AZ$17,$BA$17,IF(ENTRI!B135=$AZ$18,$BA$18," "))))))))))," ")</f>
        <v xml:space="preserve">MTs Qomarul Hidayah</v>
      </c>
      <c r="E135" s="219" t="str">
        <f>IFERROR((ENTRI!C135)," ")</f>
        <v>04</v>
      </c>
      <c r="F135" s="219">
        <f t="shared" si="56"/>
        <v>126</v>
      </c>
      <c r="G135" s="219" t="str">
        <f>IFERROR((ENTRI!E135)," ")</f>
        <v>Guru</v>
      </c>
      <c r="H135" s="219" t="str">
        <f>IFERROR((ENTRI!F135)," ")</f>
        <v>01</v>
      </c>
      <c r="I135" s="219" t="str">
        <f>IFERROR((ENTRI!G135)," ")</f>
        <v xml:space="preserve">MAHMUD, S.Pd</v>
      </c>
      <c r="J135" s="219" t="str">
        <f>IFERROR((ENTRI!H135)," ")</f>
        <v xml:space="preserve">19620703  201907 04 01 14</v>
      </c>
      <c r="K135" s="219" t="str">
        <f>IFERROR((ENTRI!I135)," ")</f>
        <v>Trenggalek</v>
      </c>
      <c r="L135" s="219" t="str">
        <f>IFERROR((ENTRI!J135)," ")</f>
        <v>03</v>
      </c>
      <c r="M135" s="219" t="str">
        <f>IFERROR((ENTRI!K135)," ")</f>
        <v>07</v>
      </c>
      <c r="N135" s="219">
        <f>IFERROR((ENTRI!L135)," ")</f>
        <v>1962</v>
      </c>
      <c r="O135" s="219" t="str">
        <f t="shared" si="57"/>
        <v xml:space="preserve">Trenggalek, 03-07-1962</v>
      </c>
      <c r="P135" s="219" t="str">
        <f>IFERROR((ENTRI!N135)," ")</f>
        <v>14</v>
      </c>
      <c r="Q135" s="219" t="str">
        <f>IFERROR((ENTRI!O135)," ")</f>
        <v>07</v>
      </c>
      <c r="R135" s="219">
        <f>IFERROR((ENTRI!P135)," ")</f>
        <v>2019</v>
      </c>
      <c r="S135" s="219" t="str">
        <f t="shared" si="58"/>
        <v>14-07-2019</v>
      </c>
      <c r="T135" s="219" t="str">
        <f>IFERROR((ENTRI!Q135)," ")</f>
        <v>14</v>
      </c>
      <c r="U135" s="219" t="str">
        <f>IFERROR((ENTRI!R135)," ")</f>
        <v>07</v>
      </c>
      <c r="V135" s="219">
        <f>IFERROR((ENTRI!S135)," ")</f>
        <v>2019</v>
      </c>
      <c r="W135" s="219" t="str">
        <f t="shared" si="59"/>
        <v>14-07-2019</v>
      </c>
      <c r="X135" s="219">
        <f>IFERROR((ENTRI!T135)," ")</f>
        <v>6</v>
      </c>
      <c r="Y135" s="219">
        <f>IFERROR((ENTRI!U135)," ")</f>
        <v>6</v>
      </c>
      <c r="Z135" s="219">
        <f>IFERROR((ENTRI!V135)," ")</f>
        <v>6</v>
      </c>
      <c r="AA135" s="219">
        <f>IFERROR((ENTRI!W135)," ")</f>
        <v>6</v>
      </c>
      <c r="AB135" s="219" t="str">
        <f>IFERROR((ENTRI!X135)," ")</f>
        <v>S1</v>
      </c>
      <c r="AC135" s="219" t="str">
        <f>IFERROR((ENTRI!Y135)," ")</f>
        <v>PPKN</v>
      </c>
      <c r="AD135" s="219">
        <f>IFERROR((ENTRI!Z135)," ")</f>
        <v>0</v>
      </c>
      <c r="AE135" s="219">
        <f>IFERROR((ENTRI!AA135)," ")</f>
        <v>0</v>
      </c>
      <c r="AF135" s="219">
        <f>IFERROR((ENTRI!AB135)," ")</f>
        <v>0</v>
      </c>
      <c r="AG135" s="219">
        <f>IFERROR((ENTRI!AC135)," ")</f>
        <v>0</v>
      </c>
      <c r="AH135" s="219">
        <f>IFERROR((ENTRI!AD135)," ")</f>
        <v>0</v>
      </c>
      <c r="AI135" s="219">
        <f>IFERROR((ENTRI!AE135)," ")</f>
        <v>0</v>
      </c>
      <c r="AJ135" s="219">
        <f>IFERROR((ENTRI!AF135)," ")</f>
        <v>0</v>
      </c>
      <c r="AK135" s="219">
        <f>IFERROR((ENTRI!AG135)," ")</f>
        <v>0</v>
      </c>
      <c r="AL135" s="219">
        <f>IFERROR((ENTRI!AH135)," ")</f>
        <v>0</v>
      </c>
      <c r="AM135" s="219">
        <f>IFERROR((ENTRI!AI135)," ")</f>
        <v>0</v>
      </c>
      <c r="AN135" s="219">
        <f>IFERROR((ENTRI!AJ135)," ")</f>
        <v>0</v>
      </c>
      <c r="AO135" s="219">
        <f>IFERROR((ENTRI!AK135)," ")</f>
        <v>0</v>
      </c>
      <c r="AP135" s="219">
        <f>IFERROR((ENTRI!AL135)," ")</f>
        <v>0</v>
      </c>
      <c r="AQ135" s="219">
        <f>IFERROR((ENTRI!AM135)," ")</f>
        <v>0</v>
      </c>
      <c r="AR135" s="216" t="str">
        <f>E135&amp;"."&amp;H135&amp;"."&amp;AW135&amp;"."&amp;ENTRI!$E$4</f>
        <v>04.01.128.2025</v>
      </c>
      <c r="AS135" t="str">
        <f>"YPP.QH/KP.01."&amp;E135&amp;"/"&amp;AW135&amp;"/"&amp;ENTRI!$E$4</f>
        <v>YPP.QH/KP.01.04/128/2025</v>
      </c>
      <c r="AW135" s="277" t="s">
        <v>1023</v>
      </c>
    </row>
    <row r="136">
      <c r="A136">
        <f t="shared" si="53"/>
        <v>146</v>
      </c>
      <c r="B136" s="276">
        <f t="shared" si="55"/>
        <v>2022</v>
      </c>
      <c r="C136" s="277">
        <v>129</v>
      </c>
      <c r="D136" s="219" t="str">
        <f>IFERROR(IF(ENTRI!B136=$AZ$9,$BA$9,IF(ENTRI!B136=$AZ$10,$BA$10,IF(ENTRI!B136=$AZ$11,$BA$11,IF(ENTRI!B136=$AZ$12,$BA$12,IF(ENTRI!B136=$AZ$13,$BA$13,IF(ENTRI!B136=$AZ$14,$BA$14,IF(ENTRI!B136=$AZ$15,$BA$15,IF(ENTRI!B136=$AZ$16,$BA$16,IF(ENTRI!B136=$AZ$17,$BA$17,IF(ENTRI!B136=$AZ$18,$BA$18," "))))))))))," ")</f>
        <v xml:space="preserve">SMK Qomarul Hidayah 1 Tugu</v>
      </c>
      <c r="E136" s="219" t="str">
        <f>IFERROR((ENTRI!C136)," ")</f>
        <v>06</v>
      </c>
      <c r="F136" s="219">
        <f t="shared" si="56"/>
        <v>146</v>
      </c>
      <c r="G136" s="219" t="str">
        <f>IFERROR((ENTRI!E136)," ")</f>
        <v xml:space="preserve">Tenaga Kependidikan</v>
      </c>
      <c r="H136" s="219" t="str">
        <f>IFERROR((ENTRI!F136)," ")</f>
        <v>02</v>
      </c>
      <c r="I136" s="219" t="str">
        <f>IFERROR((ENTRI!G136)," ")</f>
        <v xml:space="preserve">HANIK THOYYIBATUL AZIZAH, S.Pd. </v>
      </c>
      <c r="J136" s="219" t="str">
        <f>IFERROR((ENTRI!H136)," ")</f>
        <v xml:space="preserve">20000426  202208 06 02 03</v>
      </c>
      <c r="K136" s="219" t="str">
        <f>IFERROR((ENTRI!I136)," ")</f>
        <v>Trenggalek</v>
      </c>
      <c r="L136" s="219" t="str">
        <f>IFERROR((ENTRI!J136)," ")</f>
        <v>26</v>
      </c>
      <c r="M136" s="219" t="str">
        <f>IFERROR((ENTRI!K136)," ")</f>
        <v>04</v>
      </c>
      <c r="N136" s="219">
        <f>IFERROR((ENTRI!L136)," ")</f>
        <v>2000</v>
      </c>
      <c r="O136" s="219" t="str">
        <f t="shared" si="57"/>
        <v xml:space="preserve">Trenggalek, 26-04-2000</v>
      </c>
      <c r="P136" s="219" t="str">
        <f>IFERROR((ENTRI!N136)," ")</f>
        <v>03</v>
      </c>
      <c r="Q136" s="219" t="str">
        <f>IFERROR((ENTRI!O136)," ")</f>
        <v>08</v>
      </c>
      <c r="R136" s="219">
        <f>IFERROR((ENTRI!P136)," ")</f>
        <v>2022</v>
      </c>
      <c r="S136" s="219" t="str">
        <f t="shared" si="58"/>
        <v>03-08-2022</v>
      </c>
      <c r="T136" s="219" t="str">
        <f>IFERROR((ENTRI!Q136)," ")</f>
        <v>03</v>
      </c>
      <c r="U136" s="219" t="str">
        <f>IFERROR((ENTRI!R136)," ")</f>
        <v>08</v>
      </c>
      <c r="V136" s="219">
        <f>IFERROR((ENTRI!S136)," ")</f>
        <v>2022</v>
      </c>
      <c r="W136" s="219" t="str">
        <f t="shared" si="59"/>
        <v>03-08-2022</v>
      </c>
      <c r="X136" s="219">
        <f>IFERROR((ENTRI!T136)," ")</f>
        <v>3</v>
      </c>
      <c r="Y136" s="219">
        <f>IFERROR((ENTRI!U136)," ")</f>
        <v>3</v>
      </c>
      <c r="Z136" s="219">
        <f>IFERROR((ENTRI!V136)," ")</f>
        <v>3</v>
      </c>
      <c r="AA136" s="219">
        <f>IFERROR((ENTRI!W136)," ")</f>
        <v>3</v>
      </c>
      <c r="AB136" s="219" t="str">
        <f>IFERROR((ENTRI!X136)," ")</f>
        <v>S1</v>
      </c>
      <c r="AC136" s="219" t="str">
        <f>IFERROR((ENTRI!Y136)," ")</f>
        <v xml:space="preserve">Pendidikan Agama Islam</v>
      </c>
      <c r="AD136" s="219">
        <f>IFERROR((ENTRI!Z136)," ")</f>
        <v>0</v>
      </c>
      <c r="AE136" s="219">
        <f>IFERROR((ENTRI!AA136)," ")</f>
        <v>0</v>
      </c>
      <c r="AF136" s="219">
        <f>IFERROR((ENTRI!AB136)," ")</f>
        <v>0</v>
      </c>
      <c r="AG136" s="219">
        <f>IFERROR((ENTRI!AC136)," ")</f>
        <v>0</v>
      </c>
      <c r="AH136" s="219">
        <f>IFERROR((ENTRI!AD136)," ")</f>
        <v>0</v>
      </c>
      <c r="AI136" s="219">
        <f>IFERROR((ENTRI!AE136)," ")</f>
        <v>0</v>
      </c>
      <c r="AJ136" s="219">
        <f>IFERROR((ENTRI!AF136)," ")</f>
        <v>0</v>
      </c>
      <c r="AK136" s="219">
        <f>IFERROR((ENTRI!AG136)," ")</f>
        <v>0</v>
      </c>
      <c r="AL136" s="219">
        <f>IFERROR((ENTRI!AH136)," ")</f>
        <v>0</v>
      </c>
      <c r="AM136" s="219">
        <f>IFERROR((ENTRI!AI136)," ")</f>
        <v>0</v>
      </c>
      <c r="AN136" s="219">
        <f>IFERROR((ENTRI!AJ136)," ")</f>
        <v>0</v>
      </c>
      <c r="AO136" s="219">
        <f>IFERROR((ENTRI!AK136)," ")</f>
        <v>0</v>
      </c>
      <c r="AP136" s="219">
        <f>IFERROR((ENTRI!AL136)," ")</f>
        <v>0</v>
      </c>
      <c r="AQ136" s="219">
        <f>IFERROR((ENTRI!AM136)," ")</f>
        <v>0</v>
      </c>
      <c r="AR136" s="216" t="str">
        <f>E136&amp;"."&amp;H136&amp;"."&amp;AW136&amp;"."&amp;ENTRI!$E$4</f>
        <v>06.02.129.2025</v>
      </c>
      <c r="AS136" t="str">
        <f>"YPP.QH/KP.01."&amp;E136&amp;"/"&amp;AW136&amp;"/"&amp;ENTRI!$E$4</f>
        <v>YPP.QH/KP.01.06/129/2025</v>
      </c>
      <c r="AW136" s="277" t="s">
        <v>1024</v>
      </c>
    </row>
    <row r="137">
      <c r="A137">
        <f t="shared" si="53"/>
        <v>133</v>
      </c>
      <c r="B137" s="276">
        <f t="shared" si="55"/>
        <v>2020</v>
      </c>
      <c r="C137" s="277">
        <v>130</v>
      </c>
      <c r="D137" s="219" t="str">
        <f>IFERROR(IF(ENTRI!B137=$AZ$9,$BA$9,IF(ENTRI!B137=$AZ$10,$BA$10,IF(ENTRI!B137=$AZ$11,$BA$11,IF(ENTRI!B137=$AZ$12,$BA$12,IF(ENTRI!B137=$AZ$13,$BA$13,IF(ENTRI!B137=$AZ$14,$BA$14,IF(ENTRI!B137=$AZ$15,$BA$15,IF(ENTRI!B137=$AZ$16,$BA$16,IF(ENTRI!B137=$AZ$17,$BA$17,IF(ENTRI!B137=$AZ$18,$BA$18," "))))))))))," ")</f>
        <v xml:space="preserve">MTs Qomarul Hidayah</v>
      </c>
      <c r="E137" s="219" t="str">
        <f>IFERROR((ENTRI!C137)," ")</f>
        <v>04</v>
      </c>
      <c r="F137" s="219">
        <f t="shared" si="56"/>
        <v>133</v>
      </c>
      <c r="G137" s="219" t="str">
        <f>IFERROR((ENTRI!E137)," ")</f>
        <v xml:space="preserve">Tenaga Kependidikan</v>
      </c>
      <c r="H137" s="219" t="str">
        <f>IFERROR((ENTRI!F137)," ")</f>
        <v>02</v>
      </c>
      <c r="I137" s="219" t="str">
        <f>IFERROR((ENTRI!G137)," ")</f>
        <v xml:space="preserve">ANIS FITRIA</v>
      </c>
      <c r="J137" s="219" t="str">
        <f>IFERROR((ENTRI!H137)," ")</f>
        <v xml:space="preserve">19990315  202002 04 02 03</v>
      </c>
      <c r="K137" s="219" t="str">
        <f>IFERROR((ENTRI!I137)," ")</f>
        <v>Trenggalek</v>
      </c>
      <c r="L137" s="219" t="str">
        <f>IFERROR((ENTRI!J137)," ")</f>
        <v>15</v>
      </c>
      <c r="M137" s="219" t="str">
        <f>IFERROR((ENTRI!K137)," ")</f>
        <v>03</v>
      </c>
      <c r="N137" s="219">
        <f>IFERROR((ENTRI!L137)," ")</f>
        <v>1999</v>
      </c>
      <c r="O137" s="219" t="str">
        <f t="shared" si="57"/>
        <v xml:space="preserve">Trenggalek, 15-03-1999</v>
      </c>
      <c r="P137" s="219" t="str">
        <f>IFERROR((ENTRI!N137)," ")</f>
        <v>03</v>
      </c>
      <c r="Q137" s="219" t="str">
        <f>IFERROR((ENTRI!O137)," ")</f>
        <v>02</v>
      </c>
      <c r="R137" s="219">
        <f>IFERROR((ENTRI!P137)," ")</f>
        <v>2020</v>
      </c>
      <c r="S137" s="219" t="str">
        <f t="shared" si="58"/>
        <v>03-02-2020</v>
      </c>
      <c r="T137" s="219" t="str">
        <f>IFERROR((ENTRI!Q137)," ")</f>
        <v>03</v>
      </c>
      <c r="U137" s="219" t="str">
        <f>IFERROR((ENTRI!R137)," ")</f>
        <v>02</v>
      </c>
      <c r="V137" s="219">
        <f>IFERROR((ENTRI!S137)," ")</f>
        <v>2020</v>
      </c>
      <c r="W137" s="219" t="str">
        <f t="shared" si="59"/>
        <v>03-02-2020</v>
      </c>
      <c r="X137" s="219">
        <f>IFERROR((ENTRI!T137)," ")</f>
        <v>5</v>
      </c>
      <c r="Y137" s="219">
        <f>IFERROR((ENTRI!U137)," ")</f>
        <v>5</v>
      </c>
      <c r="Z137" s="219">
        <f>IFERROR((ENTRI!V137)," ")</f>
        <v>5</v>
      </c>
      <c r="AA137" s="219">
        <f>IFERROR((ENTRI!W137)," ")</f>
        <v>5</v>
      </c>
      <c r="AB137" s="219" t="str">
        <f>IFERROR((ENTRI!X137)," ")</f>
        <v>SLTA</v>
      </c>
      <c r="AC137" s="219" t="str">
        <f>IFERROR((ENTRI!Y137)," ")</f>
        <v>IPS</v>
      </c>
      <c r="AD137" s="219">
        <f>IFERROR((ENTRI!Z137)," ")</f>
        <v>0</v>
      </c>
      <c r="AE137" s="219">
        <f>IFERROR((ENTRI!AA137)," ")</f>
        <v>0</v>
      </c>
      <c r="AF137" s="219">
        <f>IFERROR((ENTRI!AB137)," ")</f>
        <v>0</v>
      </c>
      <c r="AG137" s="219">
        <f>IFERROR((ENTRI!AC137)," ")</f>
        <v>0</v>
      </c>
      <c r="AH137" s="219">
        <f>IFERROR((ENTRI!AD137)," ")</f>
        <v>0</v>
      </c>
      <c r="AI137" s="219">
        <f>IFERROR((ENTRI!AE137)," ")</f>
        <v>0</v>
      </c>
      <c r="AJ137" s="219">
        <f>IFERROR((ENTRI!AF137)," ")</f>
        <v>0</v>
      </c>
      <c r="AK137" s="219">
        <f>IFERROR((ENTRI!AG137)," ")</f>
        <v>0</v>
      </c>
      <c r="AL137" s="219">
        <f>IFERROR((ENTRI!AH137)," ")</f>
        <v>0</v>
      </c>
      <c r="AM137" s="219">
        <f>IFERROR((ENTRI!AI137)," ")</f>
        <v>0</v>
      </c>
      <c r="AN137" s="219">
        <f>IFERROR((ENTRI!AJ137)," ")</f>
        <v>0</v>
      </c>
      <c r="AO137" s="219">
        <f>IFERROR((ENTRI!AK137)," ")</f>
        <v>0</v>
      </c>
      <c r="AP137" s="219">
        <f>IFERROR((ENTRI!AL137)," ")</f>
        <v>0</v>
      </c>
      <c r="AQ137" s="219">
        <f>IFERROR((ENTRI!AM137)," ")</f>
        <v>0</v>
      </c>
      <c r="AR137" s="216" t="str">
        <f>E137&amp;"."&amp;H137&amp;"."&amp;AW137&amp;"."&amp;ENTRI!$E$4</f>
        <v>04.02.130.2025</v>
      </c>
      <c r="AS137" t="str">
        <f>"YPP.QH/KP.01."&amp;E137&amp;"/"&amp;AW137&amp;"/"&amp;ENTRI!$E$4</f>
        <v>YPP.QH/KP.01.04/130/2025</v>
      </c>
      <c r="AW137" s="277" t="s">
        <v>1025</v>
      </c>
    </row>
    <row r="138">
      <c r="A138">
        <f t="shared" si="53"/>
        <v>163</v>
      </c>
      <c r="B138" s="276">
        <f t="shared" si="55"/>
        <v>2024</v>
      </c>
      <c r="C138" s="277">
        <v>131</v>
      </c>
      <c r="D138" s="219" t="str">
        <f>IFERROR(IF(ENTRI!B138=$AZ$9,$BA$9,IF(ENTRI!B138=$AZ$10,$BA$10,IF(ENTRI!B138=$AZ$11,$BA$11,IF(ENTRI!B138=$AZ$12,$BA$12,IF(ENTRI!B138=$AZ$13,$BA$13,IF(ENTRI!B138=$AZ$14,$BA$14,IF(ENTRI!B138=$AZ$15,$BA$15,IF(ENTRI!B138=$AZ$16,$BA$16,IF(ENTRI!B138=$AZ$17,$BA$17,IF(ENTRI!B138=$AZ$18,$BA$18," "))))))))))," ")</f>
        <v xml:space="preserve">MTs Qomarul Hidayah</v>
      </c>
      <c r="E138" s="219" t="str">
        <f>IFERROR((ENTRI!C138)," ")</f>
        <v>04</v>
      </c>
      <c r="F138" s="219">
        <f t="shared" si="56"/>
        <v>163</v>
      </c>
      <c r="G138" s="219" t="str">
        <f>IFERROR((ENTRI!E138)," ")</f>
        <v>Guru</v>
      </c>
      <c r="H138" s="219" t="str">
        <f>IFERROR((ENTRI!F138)," ")</f>
        <v>01</v>
      </c>
      <c r="I138" s="219" t="str">
        <f>IFERROR((ENTRI!G138)," ")</f>
        <v xml:space="preserve">YUNI LIANA, S.Pd.</v>
      </c>
      <c r="J138" s="219" t="str">
        <f>IFERROR((ENTRI!H138)," ")</f>
        <v xml:space="preserve">20000613  202407 04 01 03</v>
      </c>
      <c r="K138" s="219" t="str">
        <f>IFERROR((ENTRI!I138)," ")</f>
        <v>Trenggalek</v>
      </c>
      <c r="L138" s="219" t="str">
        <f>IFERROR((ENTRI!J138)," ")</f>
        <v>13</v>
      </c>
      <c r="M138" s="219" t="str">
        <f>IFERROR((ENTRI!K138)," ")</f>
        <v>06</v>
      </c>
      <c r="N138" s="219">
        <f>IFERROR((ENTRI!L138)," ")</f>
        <v>2000</v>
      </c>
      <c r="O138" s="219" t="str">
        <f t="shared" si="57"/>
        <v xml:space="preserve">Trenggalek, 13-06-2000</v>
      </c>
      <c r="P138" s="219" t="str">
        <f>IFERROR((ENTRI!N138)," ")</f>
        <v>15</v>
      </c>
      <c r="Q138" s="219" t="str">
        <f>IFERROR((ENTRI!O138)," ")</f>
        <v>07</v>
      </c>
      <c r="R138" s="219">
        <f>IFERROR((ENTRI!P138)," ")</f>
        <v>2024</v>
      </c>
      <c r="S138" s="219" t="str">
        <f t="shared" si="58"/>
        <v>15-07-2024</v>
      </c>
      <c r="T138" s="219" t="str">
        <f>IFERROR((ENTRI!Q138)," ")</f>
        <v>15</v>
      </c>
      <c r="U138" s="219" t="str">
        <f>IFERROR((ENTRI!R138)," ")</f>
        <v>07</v>
      </c>
      <c r="V138" s="219">
        <f>IFERROR((ENTRI!S138)," ")</f>
        <v>2024</v>
      </c>
      <c r="W138" s="219" t="str">
        <f t="shared" si="59"/>
        <v>15-07-2024</v>
      </c>
      <c r="X138" s="219">
        <f>IFERROR((ENTRI!T138)," ")</f>
        <v>1</v>
      </c>
      <c r="Y138" s="219">
        <f>IFERROR((ENTRI!U138)," ")</f>
        <v>1</v>
      </c>
      <c r="Z138" s="219">
        <f>IFERROR((ENTRI!V138)," ")</f>
        <v>1</v>
      </c>
      <c r="AA138" s="219">
        <f>IFERROR((ENTRI!W138)," ")</f>
        <v>1</v>
      </c>
      <c r="AB138" s="219" t="str">
        <f>IFERROR((ENTRI!X138)," ")</f>
        <v>S1</v>
      </c>
      <c r="AC138" s="219" t="str">
        <f>IFERROR((ENTRI!Y138)," ")</f>
        <v xml:space="preserve">Pendidikan Bahasa Inggris</v>
      </c>
      <c r="AD138" s="219">
        <f>IFERROR((ENTRI!Z138)," ")</f>
        <v>0</v>
      </c>
      <c r="AE138" s="219">
        <f>IFERROR((ENTRI!AA138)," ")</f>
        <v>0</v>
      </c>
      <c r="AF138" s="219">
        <f>IFERROR((ENTRI!AB138)," ")</f>
        <v>0</v>
      </c>
      <c r="AG138" s="219">
        <f>IFERROR((ENTRI!AC138)," ")</f>
        <v>0</v>
      </c>
      <c r="AH138" s="219">
        <f>IFERROR((ENTRI!AD138)," ")</f>
        <v>0</v>
      </c>
      <c r="AI138" s="219">
        <f>IFERROR((ENTRI!AE138)," ")</f>
        <v>0</v>
      </c>
      <c r="AJ138" s="219">
        <f>IFERROR((ENTRI!AF138)," ")</f>
        <v>0</v>
      </c>
      <c r="AK138" s="219">
        <f>IFERROR((ENTRI!AG138)," ")</f>
        <v>0</v>
      </c>
      <c r="AL138" s="219">
        <f>IFERROR((ENTRI!AH138)," ")</f>
        <v>0</v>
      </c>
      <c r="AM138" s="219">
        <f>IFERROR((ENTRI!AI138)," ")</f>
        <v>0</v>
      </c>
      <c r="AN138" s="219">
        <f>IFERROR((ENTRI!AJ138)," ")</f>
        <v>0</v>
      </c>
      <c r="AO138" s="219">
        <f>IFERROR((ENTRI!AK138)," ")</f>
        <v>0</v>
      </c>
      <c r="AP138" s="219">
        <f>IFERROR((ENTRI!AL138)," ")</f>
        <v>0</v>
      </c>
      <c r="AQ138" s="219">
        <f>IFERROR((ENTRI!AM138)," ")</f>
        <v>0</v>
      </c>
      <c r="AR138" s="216" t="str">
        <f>E138&amp;"."&amp;H138&amp;"."&amp;AW138&amp;"."&amp;ENTRI!$E$4</f>
        <v>04.01.131.2025</v>
      </c>
      <c r="AS138" t="str">
        <f>"YPP.QH/KP.01."&amp;E138&amp;"/"&amp;AW138&amp;"/"&amp;ENTRI!$E$4</f>
        <v>YPP.QH/KP.01.04/131/2025</v>
      </c>
      <c r="AW138" s="277" t="s">
        <v>1026</v>
      </c>
    </row>
    <row r="139">
      <c r="A139">
        <f t="shared" si="53"/>
        <v>126</v>
      </c>
      <c r="B139" s="276">
        <f t="shared" si="55"/>
        <v>2019</v>
      </c>
      <c r="C139" s="277">
        <v>132</v>
      </c>
      <c r="D139" s="219" t="str">
        <f>IFERROR(IF(ENTRI!B139=$AZ$9,$BA$9,IF(ENTRI!B139=$AZ$10,$BA$10,IF(ENTRI!B139=$AZ$11,$BA$11,IF(ENTRI!B139=$AZ$12,$BA$12,IF(ENTRI!B139=$AZ$13,$BA$13,IF(ENTRI!B139=$AZ$14,$BA$14,IF(ENTRI!B139=$AZ$15,$BA$15,IF(ENTRI!B139=$AZ$16,$BA$16,IF(ENTRI!B139=$AZ$17,$BA$17,IF(ENTRI!B139=$AZ$18,$BA$18," "))))))))))," ")</f>
        <v xml:space="preserve">SMK Qomarul Hidayah 1 Tugu</v>
      </c>
      <c r="E139" s="219" t="str">
        <f>IFERROR((ENTRI!C139)," ")</f>
        <v>06</v>
      </c>
      <c r="F139" s="219">
        <f t="shared" si="56"/>
        <v>126</v>
      </c>
      <c r="G139" s="219" t="str">
        <f>IFERROR((ENTRI!E139)," ")</f>
        <v>Guru</v>
      </c>
      <c r="H139" s="219" t="str">
        <f>IFERROR((ENTRI!F139)," ")</f>
        <v>01</v>
      </c>
      <c r="I139" s="219" t="str">
        <f>IFERROR((ENTRI!G139)," ")</f>
        <v xml:space="preserve">HENDRA SEPTYAWAN, S.Pd</v>
      </c>
      <c r="J139" s="219" t="str">
        <f>IFERROR((ENTRI!H139)," ")</f>
        <v xml:space="preserve">19911105  201902 06 01 </v>
      </c>
      <c r="K139" s="219" t="str">
        <f>IFERROR((ENTRI!I139)," ")</f>
        <v>Trenggalek</v>
      </c>
      <c r="L139" s="219" t="str">
        <f>IFERROR((ENTRI!J139)," ")</f>
        <v>05</v>
      </c>
      <c r="M139" s="219" t="str">
        <f>IFERROR((ENTRI!K139)," ")</f>
        <v>11</v>
      </c>
      <c r="N139" s="219">
        <f>IFERROR((ENTRI!L139)," ")</f>
        <v>1991</v>
      </c>
      <c r="O139" s="219" t="str">
        <f t="shared" si="57"/>
        <v xml:space="preserve">Trenggalek, 05-11-1991</v>
      </c>
      <c r="P139" s="219" t="str">
        <f>IFERROR((ENTRI!N139)," ")</f>
        <v>02</v>
      </c>
      <c r="Q139" s="219" t="str">
        <f>IFERROR((ENTRI!O139)," ")</f>
        <v>02</v>
      </c>
      <c r="R139" s="219">
        <f>IFERROR((ENTRI!P139)," ")</f>
        <v>2019</v>
      </c>
      <c r="S139" s="219" t="str">
        <f t="shared" si="58"/>
        <v>02-02-2019</v>
      </c>
      <c r="T139" s="219" t="str">
        <f>IFERROR((ENTRI!Q139)," ")</f>
        <v>02</v>
      </c>
      <c r="U139" s="219" t="str">
        <f>IFERROR((ENTRI!R139)," ")</f>
        <v>02</v>
      </c>
      <c r="V139" s="219">
        <f>IFERROR((ENTRI!S139)," ")</f>
        <v>2019</v>
      </c>
      <c r="W139" s="219" t="str">
        <f t="shared" si="59"/>
        <v>02-02-2019</v>
      </c>
      <c r="X139" s="219">
        <f>IFERROR((ENTRI!T139)," ")</f>
        <v>6</v>
      </c>
      <c r="Y139" s="219">
        <f>IFERROR((ENTRI!U139)," ")</f>
        <v>6</v>
      </c>
      <c r="Z139" s="219">
        <f>IFERROR((ENTRI!V139)," ")</f>
        <v>6</v>
      </c>
      <c r="AA139" s="219">
        <f>IFERROR((ENTRI!W139)," ")</f>
        <v>6</v>
      </c>
      <c r="AB139" s="219" t="str">
        <f>IFERROR((ENTRI!X139)," ")</f>
        <v>S1</v>
      </c>
      <c r="AC139" s="219" t="str">
        <f>IFERROR((ENTRI!Y139)," ")</f>
        <v xml:space="preserve">Teknik Otomotif</v>
      </c>
      <c r="AD139" s="219">
        <f>IFERROR((ENTRI!Z139)," ")</f>
        <v>0</v>
      </c>
      <c r="AE139" s="219">
        <f>IFERROR((ENTRI!AA139)," ")</f>
        <v>0</v>
      </c>
      <c r="AF139" s="219">
        <f>IFERROR((ENTRI!AB139)," ")</f>
        <v>0</v>
      </c>
      <c r="AG139" s="219">
        <f>IFERROR((ENTRI!AC139)," ")</f>
        <v>0</v>
      </c>
      <c r="AH139" s="219">
        <f>IFERROR((ENTRI!AD139)," ")</f>
        <v>0</v>
      </c>
      <c r="AI139" s="219">
        <f>IFERROR((ENTRI!AE139)," ")</f>
        <v>0</v>
      </c>
      <c r="AJ139" s="219">
        <f>IFERROR((ENTRI!AF139)," ")</f>
        <v>0</v>
      </c>
      <c r="AK139" s="219">
        <f>IFERROR((ENTRI!AG139)," ")</f>
        <v>0</v>
      </c>
      <c r="AL139" s="219">
        <f>IFERROR((ENTRI!AH139)," ")</f>
        <v>0</v>
      </c>
      <c r="AM139" s="219">
        <f>IFERROR((ENTRI!AI139)," ")</f>
        <v>0</v>
      </c>
      <c r="AN139" s="219">
        <f>IFERROR((ENTRI!AJ139)," ")</f>
        <v>0</v>
      </c>
      <c r="AO139" s="219">
        <f>IFERROR((ENTRI!AK139)," ")</f>
        <v>0</v>
      </c>
      <c r="AP139" s="219">
        <f>IFERROR((ENTRI!AL139)," ")</f>
        <v>0</v>
      </c>
      <c r="AQ139" s="219">
        <f>IFERROR((ENTRI!AM139)," ")</f>
        <v>0</v>
      </c>
      <c r="AR139" s="216" t="str">
        <f>E139&amp;"."&amp;H139&amp;"."&amp;AW139&amp;"."&amp;ENTRI!$E$4</f>
        <v>06.01.132.2025</v>
      </c>
      <c r="AS139" t="str">
        <f>"YPP.QH/KP.01."&amp;E139&amp;"/"&amp;AW139&amp;"/"&amp;ENTRI!$E$4</f>
        <v>YPP.QH/KP.01.06/132/2025</v>
      </c>
      <c r="AW139" s="277" t="s">
        <v>1027</v>
      </c>
    </row>
    <row r="140">
      <c r="A140">
        <f t="shared" si="53"/>
        <v>118</v>
      </c>
      <c r="B140" s="276">
        <f t="shared" si="55"/>
        <v>2018</v>
      </c>
      <c r="C140" s="277">
        <v>133</v>
      </c>
      <c r="D140" s="219" t="str">
        <f>IFERROR(IF(ENTRI!B140=$AZ$9,$BA$9,IF(ENTRI!B140=$AZ$10,$BA$10,IF(ENTRI!B140=$AZ$11,$BA$11,IF(ENTRI!B140=$AZ$12,$BA$12,IF(ENTRI!B140=$AZ$13,$BA$13,IF(ENTRI!B140=$AZ$14,$BA$14,IF(ENTRI!B140=$AZ$15,$BA$15,IF(ENTRI!B140=$AZ$16,$BA$16,IF(ENTRI!B140=$AZ$17,$BA$17,IF(ENTRI!B140=$AZ$18,$BA$18," "))))))))))," ")</f>
        <v xml:space="preserve">SMK Qomarul Hidayah 1 Tugu</v>
      </c>
      <c r="E140" s="219" t="str">
        <f>IFERROR((ENTRI!C140)," ")</f>
        <v>06</v>
      </c>
      <c r="F140" s="219">
        <f t="shared" si="56"/>
        <v>118</v>
      </c>
      <c r="G140" s="219" t="str">
        <f>IFERROR((ENTRI!E140)," ")</f>
        <v>Guru</v>
      </c>
      <c r="H140" s="219" t="str">
        <f>IFERROR((ENTRI!F140)," ")</f>
        <v>01</v>
      </c>
      <c r="I140" s="219" t="str">
        <f>IFERROR((ENTRI!G140)," ")</f>
        <v xml:space="preserve">HARDIANISASI KUSUMAWATI, ST</v>
      </c>
      <c r="J140" s="219" t="str">
        <f>IFERROR((ENTRI!H140)," ")</f>
        <v xml:space="preserve">19830329  201810 06 01 02</v>
      </c>
      <c r="K140" s="219" t="str">
        <f>IFERROR((ENTRI!I140)," ")</f>
        <v>Trenggalek</v>
      </c>
      <c r="L140" s="219" t="str">
        <f>IFERROR((ENTRI!J140)," ")</f>
        <v>29</v>
      </c>
      <c r="M140" s="219" t="str">
        <f>IFERROR((ENTRI!K140)," ")</f>
        <v>03</v>
      </c>
      <c r="N140" s="219">
        <f>IFERROR((ENTRI!L140)," ")</f>
        <v>1983</v>
      </c>
      <c r="O140" s="219" t="str">
        <f t="shared" si="57"/>
        <v xml:space="preserve">Trenggalek, 29-03-1983</v>
      </c>
      <c r="P140" s="219" t="str">
        <f>IFERROR((ENTRI!N140)," ")</f>
        <v>02</v>
      </c>
      <c r="Q140" s="219" t="str">
        <f>IFERROR((ENTRI!O140)," ")</f>
        <v>10</v>
      </c>
      <c r="R140" s="219">
        <f>IFERROR((ENTRI!P140)," ")</f>
        <v>2018</v>
      </c>
      <c r="S140" s="219" t="str">
        <f t="shared" si="58"/>
        <v>02-10-2018</v>
      </c>
      <c r="T140" s="219" t="str">
        <f>IFERROR((ENTRI!Q140)," ")</f>
        <v>02</v>
      </c>
      <c r="U140" s="219" t="str">
        <f>IFERROR((ENTRI!R140)," ")</f>
        <v>10</v>
      </c>
      <c r="V140" s="219">
        <f>IFERROR((ENTRI!S140)," ")</f>
        <v>2018</v>
      </c>
      <c r="W140" s="219" t="str">
        <f t="shared" si="59"/>
        <v>02-10-2018</v>
      </c>
      <c r="X140" s="219">
        <f>IFERROR((ENTRI!T140)," ")</f>
        <v>7</v>
      </c>
      <c r="Y140" s="219">
        <f>IFERROR((ENTRI!U140)," ")</f>
        <v>7</v>
      </c>
      <c r="Z140" s="219">
        <f>IFERROR((ENTRI!V140)," ")</f>
        <v>7</v>
      </c>
      <c r="AA140" s="219">
        <f>IFERROR((ENTRI!W140)," ")</f>
        <v>7</v>
      </c>
      <c r="AB140" s="219" t="str">
        <f>IFERROR((ENTRI!X140)," ")</f>
        <v>S2</v>
      </c>
      <c r="AC140" s="219" t="str">
        <f>IFERROR((ENTRI!Y140)," ")</f>
        <v xml:space="preserve">Teknik Kimia</v>
      </c>
      <c r="AD140" s="219">
        <f>IFERROR((ENTRI!Z140)," ")</f>
        <v>0</v>
      </c>
      <c r="AE140" s="219">
        <f>IFERROR((ENTRI!AA140)," ")</f>
        <v>0</v>
      </c>
      <c r="AF140" s="219">
        <f>IFERROR((ENTRI!AB140)," ")</f>
        <v>0</v>
      </c>
      <c r="AG140" s="219">
        <f>IFERROR((ENTRI!AC140)," ")</f>
        <v>0</v>
      </c>
      <c r="AH140" s="219">
        <f>IFERROR((ENTRI!AD140)," ")</f>
        <v>0</v>
      </c>
      <c r="AI140" s="219">
        <f>IFERROR((ENTRI!AE140)," ")</f>
        <v>0</v>
      </c>
      <c r="AJ140" s="219">
        <f>IFERROR((ENTRI!AF140)," ")</f>
        <v>0</v>
      </c>
      <c r="AK140" s="219">
        <f>IFERROR((ENTRI!AG140)," ")</f>
        <v>0</v>
      </c>
      <c r="AL140" s="219">
        <f>IFERROR((ENTRI!AH140)," ")</f>
        <v>0</v>
      </c>
      <c r="AM140" s="219">
        <f>IFERROR((ENTRI!AI140)," ")</f>
        <v>0</v>
      </c>
      <c r="AN140" s="219">
        <f>IFERROR((ENTRI!AJ140)," ")</f>
        <v>0</v>
      </c>
      <c r="AO140" s="219">
        <f>IFERROR((ENTRI!AK140)," ")</f>
        <v>0</v>
      </c>
      <c r="AP140" s="219">
        <f>IFERROR((ENTRI!AL140)," ")</f>
        <v>0</v>
      </c>
      <c r="AQ140" s="219">
        <f>IFERROR((ENTRI!AM140)," ")</f>
        <v>0</v>
      </c>
      <c r="AR140" s="216" t="str">
        <f>E140&amp;"."&amp;H140&amp;"."&amp;AW140&amp;"."&amp;ENTRI!$E$4</f>
        <v>06.01.133.2025</v>
      </c>
      <c r="AS140" t="str">
        <f>"YPP.QH/KP.01."&amp;E140&amp;"/"&amp;AW140&amp;"/"&amp;ENTRI!$E$4</f>
        <v>YPP.QH/KP.01.06/133/2025</v>
      </c>
      <c r="AW140" s="277" t="s">
        <v>1028</v>
      </c>
    </row>
    <row r="141">
      <c r="A141">
        <f t="shared" si="53"/>
        <v>126</v>
      </c>
      <c r="B141" s="276">
        <f t="shared" si="55"/>
        <v>2019</v>
      </c>
      <c r="C141" s="277">
        <v>134</v>
      </c>
      <c r="D141" s="219" t="str">
        <f>IFERROR(IF(ENTRI!B141=$AZ$9,$BA$9,IF(ENTRI!B141=$AZ$10,$BA$10,IF(ENTRI!B141=$AZ$11,$BA$11,IF(ENTRI!B141=$AZ$12,$BA$12,IF(ENTRI!B141=$AZ$13,$BA$13,IF(ENTRI!B141=$AZ$14,$BA$14,IF(ENTRI!B141=$AZ$15,$BA$15,IF(ENTRI!B141=$AZ$16,$BA$16,IF(ENTRI!B141=$AZ$17,$BA$17,IF(ENTRI!B141=$AZ$18,$BA$18," "))))))))))," ")</f>
        <v xml:space="preserve">SMK Qomarul Hidayah 1 Tugu</v>
      </c>
      <c r="E141" s="219" t="str">
        <f>IFERROR((ENTRI!C141)," ")</f>
        <v>06</v>
      </c>
      <c r="F141" s="219">
        <f t="shared" si="56"/>
        <v>126</v>
      </c>
      <c r="G141" s="219" t="str">
        <f>IFERROR((ENTRI!E141)," ")</f>
        <v>Guru</v>
      </c>
      <c r="H141" s="219" t="str">
        <f>IFERROR((ENTRI!F141)," ")</f>
        <v>01</v>
      </c>
      <c r="I141" s="219" t="str">
        <f>IFERROR((ENTRI!G141)," ")</f>
        <v xml:space="preserve">AHMAD RIFQI MUAFA,S.Pd.I</v>
      </c>
      <c r="J141" s="219" t="str">
        <f>IFERROR((ENTRI!H141)," ")</f>
        <v xml:space="preserve">19960411  201910 06 01 02</v>
      </c>
      <c r="K141" s="219" t="str">
        <f>IFERROR((ENTRI!I141)," ")</f>
        <v>Trenggalek</v>
      </c>
      <c r="L141" s="219" t="str">
        <f>IFERROR((ENTRI!J141)," ")</f>
        <v>11</v>
      </c>
      <c r="M141" s="219" t="str">
        <f>IFERROR((ENTRI!K141)," ")</f>
        <v>04</v>
      </c>
      <c r="N141" s="219">
        <f>IFERROR((ENTRI!L141)," ")</f>
        <v>1996</v>
      </c>
      <c r="O141" s="219" t="str">
        <f t="shared" si="57"/>
        <v xml:space="preserve">Trenggalek, 11-04-1996</v>
      </c>
      <c r="P141" s="219" t="str">
        <f>IFERROR((ENTRI!N141)," ")</f>
        <v>02</v>
      </c>
      <c r="Q141" s="219" t="str">
        <f>IFERROR((ENTRI!O141)," ")</f>
        <v>10</v>
      </c>
      <c r="R141" s="219">
        <f>IFERROR((ENTRI!P141)," ")</f>
        <v>2019</v>
      </c>
      <c r="S141" s="219" t="str">
        <f t="shared" si="58"/>
        <v>02-10-2019</v>
      </c>
      <c r="T141" s="219" t="str">
        <f>IFERROR((ENTRI!Q141)," ")</f>
        <v>02</v>
      </c>
      <c r="U141" s="219" t="str">
        <f>IFERROR((ENTRI!R141)," ")</f>
        <v>10</v>
      </c>
      <c r="V141" s="219">
        <f>IFERROR((ENTRI!S141)," ")</f>
        <v>2019</v>
      </c>
      <c r="W141" s="219" t="str">
        <f t="shared" si="59"/>
        <v>02-10-2019</v>
      </c>
      <c r="X141" s="219">
        <f>IFERROR((ENTRI!T141)," ")</f>
        <v>6</v>
      </c>
      <c r="Y141" s="219">
        <f>IFERROR((ENTRI!U141)," ")</f>
        <v>6</v>
      </c>
      <c r="Z141" s="219">
        <f>IFERROR((ENTRI!V141)," ")</f>
        <v>6</v>
      </c>
      <c r="AA141" s="219">
        <f>IFERROR((ENTRI!W141)," ")</f>
        <v>6</v>
      </c>
      <c r="AB141" s="219" t="str">
        <f>IFERROR((ENTRI!X141)," ")</f>
        <v>S1</v>
      </c>
      <c r="AC141" s="219" t="str">
        <f>IFERROR((ENTRI!Y141)," ")</f>
        <v>PAI</v>
      </c>
      <c r="AD141" s="219">
        <f>IFERROR((ENTRI!Z141)," ")</f>
        <v>0</v>
      </c>
      <c r="AE141" s="219">
        <f>IFERROR((ENTRI!AA141)," ")</f>
        <v>0</v>
      </c>
      <c r="AF141" s="219">
        <f>IFERROR((ENTRI!AB141)," ")</f>
        <v>0</v>
      </c>
      <c r="AG141" s="219">
        <f>IFERROR((ENTRI!AC141)," ")</f>
        <v>0</v>
      </c>
      <c r="AH141" s="219">
        <f>IFERROR((ENTRI!AD141)," ")</f>
        <v>0</v>
      </c>
      <c r="AI141" s="219">
        <f>IFERROR((ENTRI!AE141)," ")</f>
        <v>0</v>
      </c>
      <c r="AJ141" s="219">
        <f>IFERROR((ENTRI!AF141)," ")</f>
        <v>0</v>
      </c>
      <c r="AK141" s="219">
        <f>IFERROR((ENTRI!AG141)," ")</f>
        <v>0</v>
      </c>
      <c r="AL141" s="219">
        <f>IFERROR((ENTRI!AH141)," ")</f>
        <v>0</v>
      </c>
      <c r="AM141" s="219">
        <f>IFERROR((ENTRI!AI141)," ")</f>
        <v>0</v>
      </c>
      <c r="AN141" s="219">
        <f>IFERROR((ENTRI!AJ141)," ")</f>
        <v>0</v>
      </c>
      <c r="AO141" s="219">
        <f>IFERROR((ENTRI!AK141)," ")</f>
        <v>0</v>
      </c>
      <c r="AP141" s="219">
        <f>IFERROR((ENTRI!AL141)," ")</f>
        <v>0</v>
      </c>
      <c r="AQ141" s="219">
        <f>IFERROR((ENTRI!AM141)," ")</f>
        <v>0</v>
      </c>
      <c r="AR141" s="216" t="str">
        <f>E141&amp;"."&amp;H141&amp;"."&amp;AW141&amp;"."&amp;ENTRI!$E$4</f>
        <v>06.01.134.2025</v>
      </c>
      <c r="AS141" t="str">
        <f>"YPP.QH/KP.01."&amp;E141&amp;"/"&amp;AW141&amp;"/"&amp;ENTRI!$E$4</f>
        <v>YPP.QH/KP.01.06/134/2025</v>
      </c>
      <c r="AW141" s="277" t="s">
        <v>1029</v>
      </c>
    </row>
    <row r="142">
      <c r="A142">
        <f t="shared" si="53"/>
        <v>163</v>
      </c>
      <c r="B142" s="276">
        <f t="shared" si="55"/>
        <v>2024</v>
      </c>
      <c r="C142" s="277">
        <v>135</v>
      </c>
      <c r="D142" s="219" t="str">
        <f>IFERROR(IF(ENTRI!B142=$AZ$9,$BA$9,IF(ENTRI!B142=$AZ$10,$BA$10,IF(ENTRI!B142=$AZ$11,$BA$11,IF(ENTRI!B142=$AZ$12,$BA$12,IF(ENTRI!B142=$AZ$13,$BA$13,IF(ENTRI!B142=$AZ$14,$BA$14,IF(ENTRI!B142=$AZ$15,$BA$15,IF(ENTRI!B142=$AZ$16,$BA$16,IF(ENTRI!B142=$AZ$17,$BA$17,IF(ENTRI!B142=$AZ$18,$BA$18," "))))))))))," ")</f>
        <v xml:space="preserve">SMK Qomarul Hidayah 2 Tugu</v>
      </c>
      <c r="E142" s="219" t="str">
        <f>IFERROR((ENTRI!C142)," ")</f>
        <v>07</v>
      </c>
      <c r="F142" s="219">
        <f t="shared" si="56"/>
        <v>163</v>
      </c>
      <c r="G142" s="219" t="str">
        <f>IFERROR((ENTRI!E142)," ")</f>
        <v>Guru</v>
      </c>
      <c r="H142" s="219" t="str">
        <f>IFERROR((ENTRI!F142)," ")</f>
        <v>01</v>
      </c>
      <c r="I142" s="219" t="str">
        <f>IFERROR((ENTRI!G142)," ")</f>
        <v xml:space="preserve">RIA PUSPITA SARI, S.Pd.</v>
      </c>
      <c r="J142" s="219" t="str">
        <f>IFERROR((ENTRI!H142)," ")</f>
        <v xml:space="preserve">19900112  202407 07 01 15</v>
      </c>
      <c r="K142" s="219" t="str">
        <f>IFERROR((ENTRI!I142)," ")</f>
        <v>Trenggalek</v>
      </c>
      <c r="L142" s="219" t="str">
        <f>IFERROR((ENTRI!J142)," ")</f>
        <v>12</v>
      </c>
      <c r="M142" s="219" t="str">
        <f>IFERROR((ENTRI!K142)," ")</f>
        <v>01</v>
      </c>
      <c r="N142" s="219">
        <f>IFERROR((ENTRI!L142)," ")</f>
        <v>1990</v>
      </c>
      <c r="O142" s="219" t="str">
        <f t="shared" si="57"/>
        <v xml:space="preserve">Trenggalek, 12-01-1990</v>
      </c>
      <c r="P142" s="219" t="str">
        <f>IFERROR((ENTRI!N142)," ")</f>
        <v>15</v>
      </c>
      <c r="Q142" s="219" t="str">
        <f>IFERROR((ENTRI!O142)," ")</f>
        <v>07</v>
      </c>
      <c r="R142" s="219">
        <f>IFERROR((ENTRI!P142)," ")</f>
        <v>2024</v>
      </c>
      <c r="S142" s="219" t="str">
        <f t="shared" si="58"/>
        <v>15-07-2024</v>
      </c>
      <c r="T142" s="219" t="str">
        <f>IFERROR((ENTRI!Q142)," ")</f>
        <v>15</v>
      </c>
      <c r="U142" s="219" t="str">
        <f>IFERROR((ENTRI!R142)," ")</f>
        <v>07</v>
      </c>
      <c r="V142" s="219">
        <f>IFERROR((ENTRI!S142)," ")</f>
        <v>2024</v>
      </c>
      <c r="W142" s="219" t="str">
        <f t="shared" si="59"/>
        <v>15-07-2024</v>
      </c>
      <c r="X142" s="219">
        <f>IFERROR((ENTRI!T142)," ")</f>
        <v>1</v>
      </c>
      <c r="Y142" s="219">
        <f>IFERROR((ENTRI!U142)," ")</f>
        <v>1</v>
      </c>
      <c r="Z142" s="219">
        <f>IFERROR((ENTRI!V142)," ")</f>
        <v>1</v>
      </c>
      <c r="AA142" s="219">
        <f>IFERROR((ENTRI!W142)," ")</f>
        <v>1</v>
      </c>
      <c r="AB142" s="219" t="str">
        <f>IFERROR((ENTRI!X142)," ")</f>
        <v>S1</v>
      </c>
      <c r="AC142" s="219" t="str">
        <f>IFERROR((ENTRI!Y142)," ")</f>
        <v xml:space="preserve">Administrasi Pendidikan</v>
      </c>
      <c r="AD142" s="219">
        <f>IFERROR((ENTRI!Z142)," ")</f>
        <v>0</v>
      </c>
      <c r="AE142" s="219">
        <f>IFERROR((ENTRI!AA142)," ")</f>
        <v>0</v>
      </c>
      <c r="AF142" s="219">
        <f>IFERROR((ENTRI!AB142)," ")</f>
        <v>0</v>
      </c>
      <c r="AG142" s="219">
        <f>IFERROR((ENTRI!AC142)," ")</f>
        <v>0</v>
      </c>
      <c r="AH142" s="219">
        <f>IFERROR((ENTRI!AD142)," ")</f>
        <v>0</v>
      </c>
      <c r="AI142" s="219">
        <f>IFERROR((ENTRI!AE142)," ")</f>
        <v>0</v>
      </c>
      <c r="AJ142" s="219">
        <f>IFERROR((ENTRI!AF142)," ")</f>
        <v>0</v>
      </c>
      <c r="AK142" s="219">
        <f>IFERROR((ENTRI!AG142)," ")</f>
        <v>0</v>
      </c>
      <c r="AL142" s="219">
        <f>IFERROR((ENTRI!AH142)," ")</f>
        <v>0</v>
      </c>
      <c r="AM142" s="219">
        <f>IFERROR((ENTRI!AI142)," ")</f>
        <v>0</v>
      </c>
      <c r="AN142" s="219">
        <f>IFERROR((ENTRI!AJ142)," ")</f>
        <v>0</v>
      </c>
      <c r="AO142" s="219">
        <f>IFERROR((ENTRI!AK142)," ")</f>
        <v>0</v>
      </c>
      <c r="AP142" s="219">
        <f>IFERROR((ENTRI!AL142)," ")</f>
        <v>0</v>
      </c>
      <c r="AQ142" s="219">
        <f>IFERROR((ENTRI!AM142)," ")</f>
        <v>0</v>
      </c>
      <c r="AR142" s="216" t="str">
        <f>E142&amp;"."&amp;H142&amp;"."&amp;AW142&amp;"."&amp;ENTRI!$E$4</f>
        <v>07.01.135.2025</v>
      </c>
      <c r="AS142" t="str">
        <f>"YPP.QH/KP.01."&amp;E142&amp;"/"&amp;AW142&amp;"/"&amp;ENTRI!$E$4</f>
        <v>YPP.QH/KP.01.07/135/2025</v>
      </c>
      <c r="AW142" s="277" t="s">
        <v>1030</v>
      </c>
    </row>
    <row r="143">
      <c r="A143">
        <f t="shared" si="53"/>
        <v>118</v>
      </c>
      <c r="B143" s="276">
        <f t="shared" si="55"/>
        <v>2018</v>
      </c>
      <c r="C143" s="277">
        <v>136</v>
      </c>
      <c r="D143" s="219" t="str">
        <f>IFERROR(IF(ENTRI!B143=$AZ$9,$BA$9,IF(ENTRI!B143=$AZ$10,$BA$10,IF(ENTRI!B143=$AZ$11,$BA$11,IF(ENTRI!B143=$AZ$12,$BA$12,IF(ENTRI!B143=$AZ$13,$BA$13,IF(ENTRI!B143=$AZ$14,$BA$14,IF(ENTRI!B143=$AZ$15,$BA$15,IF(ENTRI!B143=$AZ$16,$BA$16,IF(ENTRI!B143=$AZ$17,$BA$17,IF(ENTRI!B143=$AZ$18,$BA$18," "))))))))))," ")</f>
        <v xml:space="preserve">MA Qomarul Hidayah</v>
      </c>
      <c r="E143" s="219" t="str">
        <f>IFERROR((ENTRI!C143)," ")</f>
        <v>05</v>
      </c>
      <c r="F143" s="219">
        <f t="shared" si="56"/>
        <v>118</v>
      </c>
      <c r="G143" s="219" t="str">
        <f>IFERROR((ENTRI!E143)," ")</f>
        <v>Guru</v>
      </c>
      <c r="H143" s="219" t="str">
        <f>IFERROR((ENTRI!F143)," ")</f>
        <v>01</v>
      </c>
      <c r="I143" s="219" t="str">
        <f>IFERROR((ENTRI!G143)," ")</f>
        <v xml:space="preserve">MUTI'ATUN, S.Pd</v>
      </c>
      <c r="J143" s="219" t="str">
        <f>IFERROR((ENTRI!H143)," ")</f>
        <v xml:space="preserve">19791021  201807 05 01 71</v>
      </c>
      <c r="K143" s="219" t="str">
        <f>IFERROR((ENTRI!I143)," ")</f>
        <v xml:space="preserve">Lampung Tengah</v>
      </c>
      <c r="L143" s="219" t="str">
        <f>IFERROR((ENTRI!J143)," ")</f>
        <v>21</v>
      </c>
      <c r="M143" s="219" t="str">
        <f>IFERROR((ENTRI!K143)," ")</f>
        <v>10</v>
      </c>
      <c r="N143" s="219">
        <f>IFERROR((ENTRI!L143)," ")</f>
        <v>1979</v>
      </c>
      <c r="O143" s="219" t="str">
        <f t="shared" si="57"/>
        <v xml:space="preserve">Lampung Tengah, 21-10-1979</v>
      </c>
      <c r="P143" s="219" t="str">
        <f>IFERROR((ENTRI!N143)," ")</f>
        <v>16</v>
      </c>
      <c r="Q143" s="219" t="str">
        <f>IFERROR((ENTRI!O143)," ")</f>
        <v>07</v>
      </c>
      <c r="R143" s="219">
        <f>IFERROR((ENTRI!P143)," ")</f>
        <v>2018</v>
      </c>
      <c r="S143" s="219" t="str">
        <f t="shared" si="58"/>
        <v>16-07-2018</v>
      </c>
      <c r="T143" s="219" t="str">
        <f>IFERROR((ENTRI!Q143)," ")</f>
        <v>16</v>
      </c>
      <c r="U143" s="219" t="str">
        <f>IFERROR((ENTRI!R143)," ")</f>
        <v>07</v>
      </c>
      <c r="V143" s="219">
        <f>IFERROR((ENTRI!S143)," ")</f>
        <v>2018</v>
      </c>
      <c r="W143" s="219" t="str">
        <f t="shared" si="59"/>
        <v>16-07-2018</v>
      </c>
      <c r="X143" s="219">
        <f>IFERROR((ENTRI!T143)," ")</f>
        <v>7</v>
      </c>
      <c r="Y143" s="219">
        <f>IFERROR((ENTRI!U143)," ")</f>
        <v>7</v>
      </c>
      <c r="Z143" s="219">
        <f>IFERROR((ENTRI!V143)," ")</f>
        <v>7</v>
      </c>
      <c r="AA143" s="219">
        <f>IFERROR((ENTRI!W143)," ")</f>
        <v>7</v>
      </c>
      <c r="AB143" s="219" t="str">
        <f>IFERROR((ENTRI!X143)," ")</f>
        <v>S1</v>
      </c>
      <c r="AC143" s="219" t="str">
        <f>IFERROR((ENTRI!Y143)," ")</f>
        <v xml:space="preserve">Pendidikan Agama Islam</v>
      </c>
      <c r="AD143" s="219">
        <f>IFERROR((ENTRI!Z143)," ")</f>
        <v>0</v>
      </c>
      <c r="AE143" s="219">
        <f>IFERROR((ENTRI!AA143)," ")</f>
        <v>0</v>
      </c>
      <c r="AF143" s="219">
        <f>IFERROR((ENTRI!AB143)," ")</f>
        <v>0</v>
      </c>
      <c r="AG143" s="219">
        <f>IFERROR((ENTRI!AC143)," ")</f>
        <v>0</v>
      </c>
      <c r="AH143" s="219">
        <f>IFERROR((ENTRI!AD143)," ")</f>
        <v>0</v>
      </c>
      <c r="AI143" s="219">
        <f>IFERROR((ENTRI!AE143)," ")</f>
        <v>0</v>
      </c>
      <c r="AJ143" s="219">
        <f>IFERROR((ENTRI!AF143)," ")</f>
        <v>0</v>
      </c>
      <c r="AK143" s="219">
        <f>IFERROR((ENTRI!AG143)," ")</f>
        <v>0</v>
      </c>
      <c r="AL143" s="219">
        <f>IFERROR((ENTRI!AH143)," ")</f>
        <v>0</v>
      </c>
      <c r="AM143" s="219">
        <f>IFERROR((ENTRI!AI143)," ")</f>
        <v>0</v>
      </c>
      <c r="AN143" s="219">
        <f>IFERROR((ENTRI!AJ143)," ")</f>
        <v>0</v>
      </c>
      <c r="AO143" s="219">
        <f>IFERROR((ENTRI!AK143)," ")</f>
        <v>0</v>
      </c>
      <c r="AP143" s="219">
        <f>IFERROR((ENTRI!AL143)," ")</f>
        <v>0</v>
      </c>
      <c r="AQ143" s="219">
        <f>IFERROR((ENTRI!AM143)," ")</f>
        <v>0</v>
      </c>
      <c r="AR143" s="216" t="str">
        <f>E143&amp;"."&amp;H143&amp;"."&amp;AW143&amp;"."&amp;ENTRI!$E$4</f>
        <v>05.01.136.2025</v>
      </c>
      <c r="AS143" t="str">
        <f>"YPP.QH/KP.01."&amp;E143&amp;"/"&amp;AW143&amp;"/"&amp;ENTRI!$E$4</f>
        <v>YPP.QH/KP.01.05/136/2025</v>
      </c>
      <c r="AW143" s="277" t="s">
        <v>1031</v>
      </c>
    </row>
    <row r="144">
      <c r="A144">
        <f t="shared" si="53"/>
        <v>133</v>
      </c>
      <c r="B144" s="276">
        <f t="shared" si="55"/>
        <v>2020</v>
      </c>
      <c r="C144" s="277">
        <v>137</v>
      </c>
      <c r="D144" s="219" t="str">
        <f>IFERROR(IF(ENTRI!B144=$AZ$9,$BA$9,IF(ENTRI!B144=$AZ$10,$BA$10,IF(ENTRI!B144=$AZ$11,$BA$11,IF(ENTRI!B144=$AZ$12,$BA$12,IF(ENTRI!B144=$AZ$13,$BA$13,IF(ENTRI!B144=$AZ$14,$BA$14,IF(ENTRI!B144=$AZ$15,$BA$15,IF(ENTRI!B144=$AZ$16,$BA$16,IF(ENTRI!B144=$AZ$17,$BA$17,IF(ENTRI!B144=$AZ$18,$BA$18," "))))))))))," ")</f>
        <v xml:space="preserve">MA Qomarul Hidayah</v>
      </c>
      <c r="E144" s="219" t="str">
        <f>IFERROR((ENTRI!C144)," ")</f>
        <v>05</v>
      </c>
      <c r="F144" s="219">
        <f t="shared" si="56"/>
        <v>133</v>
      </c>
      <c r="G144" s="219" t="str">
        <f>IFERROR((ENTRI!E144)," ")</f>
        <v>Guru</v>
      </c>
      <c r="H144" s="219" t="str">
        <f>IFERROR((ENTRI!F144)," ")</f>
        <v>01</v>
      </c>
      <c r="I144" s="219" t="str">
        <f>IFERROR((ENTRI!G144)," ")</f>
        <v xml:space="preserve">WAHYU MAWADATUL HABIBAH, S.Pd.</v>
      </c>
      <c r="J144" s="219" t="str">
        <f>IFERROR((ENTRI!H144)," ")</f>
        <v xml:space="preserve">19980429  202002 05 01 25</v>
      </c>
      <c r="K144" s="219" t="str">
        <f>IFERROR((ENTRI!I144)," ")</f>
        <v>Trenggalek</v>
      </c>
      <c r="L144" s="219" t="str">
        <f>IFERROR((ENTRI!J144)," ")</f>
        <v>29</v>
      </c>
      <c r="M144" s="219" t="str">
        <f>IFERROR((ENTRI!K144)," ")</f>
        <v>04</v>
      </c>
      <c r="N144" s="219">
        <f>IFERROR((ENTRI!L144)," ")</f>
        <v>1998</v>
      </c>
      <c r="O144" s="219" t="str">
        <f t="shared" si="57"/>
        <v xml:space="preserve">Trenggalek, 29-04-1998</v>
      </c>
      <c r="P144" s="219" t="str">
        <f>IFERROR((ENTRI!N144)," ")</f>
        <v>21</v>
      </c>
      <c r="Q144" s="219" t="str">
        <f>IFERROR((ENTRI!O144)," ")</f>
        <v>02</v>
      </c>
      <c r="R144" s="219">
        <f>IFERROR((ENTRI!P144)," ")</f>
        <v>2020</v>
      </c>
      <c r="S144" s="219" t="str">
        <f t="shared" si="58"/>
        <v>21-02-2020</v>
      </c>
      <c r="T144" s="219" t="str">
        <f>IFERROR((ENTRI!Q144)," ")</f>
        <v>21</v>
      </c>
      <c r="U144" s="219" t="str">
        <f>IFERROR((ENTRI!R144)," ")</f>
        <v>02</v>
      </c>
      <c r="V144" s="219">
        <f>IFERROR((ENTRI!S144)," ")</f>
        <v>2020</v>
      </c>
      <c r="W144" s="219" t="str">
        <f t="shared" si="59"/>
        <v>21-02-2020</v>
      </c>
      <c r="X144" s="219">
        <f>IFERROR((ENTRI!T144)," ")</f>
        <v>5</v>
      </c>
      <c r="Y144" s="219">
        <f>IFERROR((ENTRI!U144)," ")</f>
        <v>5</v>
      </c>
      <c r="Z144" s="219">
        <f>IFERROR((ENTRI!V144)," ")</f>
        <v>5</v>
      </c>
      <c r="AA144" s="219">
        <f>IFERROR((ENTRI!W144)," ")</f>
        <v>5</v>
      </c>
      <c r="AB144" s="219" t="str">
        <f>IFERROR((ENTRI!X144)," ")</f>
        <v>S1</v>
      </c>
      <c r="AC144" s="219" t="str">
        <f>IFERROR((ENTRI!Y144)," ")</f>
        <v xml:space="preserve">TADRIS MATEMATIKA</v>
      </c>
      <c r="AD144" s="219">
        <f>IFERROR((ENTRI!Z144)," ")</f>
        <v>0</v>
      </c>
      <c r="AE144" s="219">
        <f>IFERROR((ENTRI!AA144)," ")</f>
        <v>0</v>
      </c>
      <c r="AF144" s="219">
        <f>IFERROR((ENTRI!AB144)," ")</f>
        <v>0</v>
      </c>
      <c r="AG144" s="219">
        <f>IFERROR((ENTRI!AC144)," ")</f>
        <v>0</v>
      </c>
      <c r="AH144" s="219">
        <f>IFERROR((ENTRI!AD144)," ")</f>
        <v>0</v>
      </c>
      <c r="AI144" s="219">
        <f>IFERROR((ENTRI!AE144)," ")</f>
        <v>0</v>
      </c>
      <c r="AJ144" s="219">
        <f>IFERROR((ENTRI!AF144)," ")</f>
        <v>0</v>
      </c>
      <c r="AK144" s="219">
        <f>IFERROR((ENTRI!AG144)," ")</f>
        <v>0</v>
      </c>
      <c r="AL144" s="219">
        <f>IFERROR((ENTRI!AH144)," ")</f>
        <v>0</v>
      </c>
      <c r="AM144" s="219">
        <f>IFERROR((ENTRI!AI144)," ")</f>
        <v>0</v>
      </c>
      <c r="AN144" s="219">
        <f>IFERROR((ENTRI!AJ144)," ")</f>
        <v>0</v>
      </c>
      <c r="AO144" s="219">
        <f>IFERROR((ENTRI!AK144)," ")</f>
        <v>0</v>
      </c>
      <c r="AP144" s="219">
        <f>IFERROR((ENTRI!AL144)," ")</f>
        <v>0</v>
      </c>
      <c r="AQ144" s="219">
        <f>IFERROR((ENTRI!AM144)," ")</f>
        <v>0</v>
      </c>
      <c r="AR144" s="216" t="str">
        <f>E144&amp;"."&amp;H144&amp;"."&amp;AW144&amp;"."&amp;ENTRI!$E$4</f>
        <v>05.01.137.2025</v>
      </c>
      <c r="AS144" t="str">
        <f>"YPP.QH/KP.01."&amp;E144&amp;"/"&amp;AW144&amp;"/"&amp;ENTRI!$E$4</f>
        <v>YPP.QH/KP.01.05/137/2025</v>
      </c>
      <c r="AW144" s="277" t="s">
        <v>1032</v>
      </c>
    </row>
    <row r="145">
      <c r="A145" t="str">
        <f t="shared" si="53"/>
        <v xml:space="preserve"> </v>
      </c>
      <c r="B145" s="276">
        <f t="shared" si="55"/>
        <v>0</v>
      </c>
      <c r="C145" s="277">
        <v>138</v>
      </c>
      <c r="D145" s="219">
        <f>IFERROR(IF(ENTRI!B145=$AZ$9,$BA$9,IF(ENTRI!B145=$AZ$10,$BA$10,IF(ENTRI!B145=$AZ$11,$BA$11,IF(ENTRI!B145=$AZ$12,$BA$12,IF(ENTRI!B145=$AZ$13,$BA$13,IF(ENTRI!B145=$AZ$14,$BA$14,IF(ENTRI!B145=$AZ$15,$BA$15,IF(ENTRI!B145=$AZ$16,$BA$16,IF(ENTRI!B145=$AZ$17,$BA$17,IF(ENTRI!B145=$AZ$18,$BA$18," "))))))))))," ")</f>
        <v>0</v>
      </c>
      <c r="E145" s="219">
        <f>IFERROR((ENTRI!C145)," ")</f>
        <v>0</v>
      </c>
      <c r="F145" s="219" t="str">
        <f t="shared" si="56"/>
        <v xml:space="preserve"> </v>
      </c>
      <c r="G145" s="219">
        <f>IFERROR((ENTRI!E145)," ")</f>
        <v>0</v>
      </c>
      <c r="H145" s="219">
        <f>IFERROR((ENTRI!F145)," ")</f>
        <v>0</v>
      </c>
      <c r="I145" s="219" t="str">
        <f t="shared" ref="I145:I146" si="60">IFERROR((ENTRI!#REF!)," ")</f>
        <v xml:space="preserve"> </v>
      </c>
      <c r="J145" s="219">
        <f>IFERROR((ENTRI!H145)," ")</f>
        <v>0</v>
      </c>
      <c r="K145" s="219" t="str">
        <f>IFERROR((ENTRI!I145)," ")</f>
        <v>Trenggalek</v>
      </c>
      <c r="L145" s="219">
        <f>IFERROR((ENTRI!J145)," ")</f>
        <v>0</v>
      </c>
      <c r="M145" s="219">
        <f>IFERROR((ENTRI!K145)," ")</f>
        <v>0</v>
      </c>
      <c r="N145" s="219">
        <f>IFERROR((ENTRI!L145)," ")</f>
        <v>0</v>
      </c>
      <c r="O145" s="219" t="str">
        <f t="shared" si="57"/>
        <v xml:space="preserve">Trenggalek, 0-0-0</v>
      </c>
      <c r="P145" s="219">
        <f>IFERROR((ENTRI!N145)," ")</f>
        <v>0</v>
      </c>
      <c r="Q145" s="219">
        <f>IFERROR((ENTRI!O145)," ")</f>
        <v>0</v>
      </c>
      <c r="R145" s="219">
        <f>IFERROR((ENTRI!P145)," ")</f>
        <v>0</v>
      </c>
      <c r="S145" s="219" t="str">
        <f t="shared" si="58"/>
        <v>0-0-0</v>
      </c>
      <c r="T145" s="219">
        <f>IFERROR((ENTRI!Q145)," ")</f>
        <v>0</v>
      </c>
      <c r="U145" s="219">
        <f>IFERROR((ENTRI!R145)," ")</f>
        <v>0</v>
      </c>
      <c r="V145" s="219">
        <f>IFERROR((ENTRI!S145)," ")</f>
        <v>0</v>
      </c>
      <c r="W145" s="219" t="str">
        <f t="shared" si="59"/>
        <v>0-0-0</v>
      </c>
      <c r="X145" s="219">
        <f>IFERROR((ENTRI!T145)," ")</f>
        <v>2025</v>
      </c>
      <c r="Y145" s="219">
        <f>IFERROR((ENTRI!U145)," ")</f>
        <v>2025</v>
      </c>
      <c r="Z145" s="219" t="str">
        <f>IFERROR((ENTRI!V145)," ")</f>
        <v xml:space="preserve"> </v>
      </c>
      <c r="AA145" s="219" t="str">
        <f>IFERROR((ENTRI!W145)," ")</f>
        <v xml:space="preserve"> </v>
      </c>
      <c r="AB145" s="219" t="str">
        <f>IFERROR((ENTRI!X145)," ")</f>
        <v>S1</v>
      </c>
      <c r="AC145" s="219" t="str">
        <f t="shared" ref="AC145:AC146" si="61">IFERROR((ENTRI!#REF!)," ")</f>
        <v xml:space="preserve"> </v>
      </c>
      <c r="AD145" s="219">
        <f>IFERROR((ENTRI!Z145)," ")</f>
        <v>0</v>
      </c>
      <c r="AE145" s="219">
        <f>IFERROR((ENTRI!AA145)," ")</f>
        <v>0</v>
      </c>
      <c r="AF145" s="219">
        <f>IFERROR((ENTRI!AB145)," ")</f>
        <v>0</v>
      </c>
      <c r="AG145" s="219">
        <f>IFERROR((ENTRI!AC145)," ")</f>
        <v>0</v>
      </c>
      <c r="AH145" s="219">
        <f>IFERROR((ENTRI!AD145)," ")</f>
        <v>0</v>
      </c>
      <c r="AI145" s="219">
        <f>IFERROR((ENTRI!AE145)," ")</f>
        <v>0</v>
      </c>
      <c r="AJ145" s="219">
        <f>IFERROR((ENTRI!AF145)," ")</f>
        <v>0</v>
      </c>
      <c r="AK145" s="219">
        <f>IFERROR((ENTRI!AG145)," ")</f>
        <v>0</v>
      </c>
      <c r="AL145" s="219">
        <f>IFERROR((ENTRI!AH145)," ")</f>
        <v>0</v>
      </c>
      <c r="AM145" s="219">
        <f>IFERROR((ENTRI!AI145)," ")</f>
        <v>0</v>
      </c>
      <c r="AN145" s="219">
        <f>IFERROR((ENTRI!AJ145)," ")</f>
        <v>0</v>
      </c>
      <c r="AO145" s="219">
        <f>IFERROR((ENTRI!AK145)," ")</f>
        <v>0</v>
      </c>
      <c r="AP145" s="219">
        <f>IFERROR((ENTRI!AL145)," ")</f>
        <v>0</v>
      </c>
      <c r="AQ145" s="219">
        <f>IFERROR((ENTRI!AM145)," ")</f>
        <v>0</v>
      </c>
      <c r="AR145" s="216" t="str">
        <f>E145&amp;"."&amp;H145&amp;"."&amp;AW145&amp;"."&amp;ENTRI!$E$4</f>
        <v>0.0.138.2025</v>
      </c>
      <c r="AS145" t="str">
        <f>"YPP.QH/KP.01."&amp;E145&amp;"/"&amp;AW145&amp;"/"&amp;ENTRI!$E$4</f>
        <v>YPP.QH/KP.01.0/138/2025</v>
      </c>
      <c r="AW145" s="277" t="s">
        <v>1033</v>
      </c>
    </row>
    <row r="146">
      <c r="A146">
        <f t="shared" si="53"/>
        <v>169</v>
      </c>
      <c r="B146" s="276">
        <f t="shared" si="55"/>
        <v>2025</v>
      </c>
      <c r="C146" s="277">
        <v>139</v>
      </c>
      <c r="D146" s="219" t="str">
        <f>IFERROR(IF(ENTRI!B146=$AZ$9,$BA$9,IF(ENTRI!B146=$AZ$10,$BA$10,IF(ENTRI!B146=$AZ$11,$BA$11,IF(ENTRI!B146=$AZ$12,$BA$12,IF(ENTRI!B146=$AZ$13,$BA$13,IF(ENTRI!B146=$AZ$14,$BA$14,IF(ENTRI!B146=$AZ$15,$BA$15,IF(ENTRI!B146=$AZ$16,$BA$16,IF(ENTRI!B146=$AZ$17,$BA$17,IF(ENTRI!B146=$AZ$18,$BA$18," "))))))))))," ")</f>
        <v xml:space="preserve">SMK Qomarul Hidayah 2 Tugu</v>
      </c>
      <c r="E146" s="219" t="str">
        <f>IFERROR((ENTRI!C146)," ")</f>
        <v>07</v>
      </c>
      <c r="F146" s="219">
        <f t="shared" si="56"/>
        <v>169</v>
      </c>
      <c r="G146" s="219" t="str">
        <f>IFERROR((ENTRI!E146)," ")</f>
        <v>Guru</v>
      </c>
      <c r="H146" s="219" t="str">
        <f>IFERROR((ENTRI!F146)," ")</f>
        <v>01</v>
      </c>
      <c r="I146" s="219" t="str">
        <f t="shared" si="60"/>
        <v xml:space="preserve"> </v>
      </c>
      <c r="J146" s="219" t="str">
        <f>IFERROR((ENTRI!H146)," ")</f>
        <v xml:space="preserve">20010610  202507 07 01 14</v>
      </c>
      <c r="K146" s="219" t="str">
        <f>IFERROR((ENTRI!I146)," ")</f>
        <v>Trenggalek</v>
      </c>
      <c r="L146" s="219" t="str">
        <f>IFERROR((ENTRI!J146)," ")</f>
        <v>10</v>
      </c>
      <c r="M146" s="219" t="str">
        <f>IFERROR((ENTRI!K146)," ")</f>
        <v>06</v>
      </c>
      <c r="N146" s="219">
        <f>IFERROR((ENTRI!L146)," ")</f>
        <v>2001</v>
      </c>
      <c r="O146" s="219" t="str">
        <f t="shared" si="57"/>
        <v xml:space="preserve">Trenggalek, 10-06-2001</v>
      </c>
      <c r="P146" s="219" t="str">
        <f>IFERROR((ENTRI!N146)," ")</f>
        <v>14</v>
      </c>
      <c r="Q146" s="219" t="str">
        <f>IFERROR((ENTRI!O146)," ")</f>
        <v>07</v>
      </c>
      <c r="R146" s="219">
        <f>IFERROR((ENTRI!P146)," ")</f>
        <v>2025</v>
      </c>
      <c r="S146" s="219" t="str">
        <f t="shared" si="58"/>
        <v>14-07-2025</v>
      </c>
      <c r="T146" s="219" t="str">
        <f>IFERROR((ENTRI!Q146)," ")</f>
        <v>14</v>
      </c>
      <c r="U146" s="219" t="str">
        <f>IFERROR((ENTRI!R146)," ")</f>
        <v>07</v>
      </c>
      <c r="V146" s="219">
        <f>IFERROR((ENTRI!S146)," ")</f>
        <v>2025</v>
      </c>
      <c r="W146" s="219" t="str">
        <f t="shared" si="59"/>
        <v>14-07-2025</v>
      </c>
      <c r="X146" s="219">
        <f>IFERROR((ENTRI!T146)," ")</f>
        <v>0</v>
      </c>
      <c r="Y146" s="219">
        <f>IFERROR((ENTRI!U146)," ")</f>
        <v>0</v>
      </c>
      <c r="Z146" s="219">
        <f>IFERROR((ENTRI!V146)," ")</f>
        <v>0</v>
      </c>
      <c r="AA146" s="219">
        <f>IFERROR((ENTRI!W146)," ")</f>
        <v>0</v>
      </c>
      <c r="AB146" s="219" t="str">
        <f>IFERROR((ENTRI!X146)," ")</f>
        <v>S1</v>
      </c>
      <c r="AC146" s="219" t="str">
        <f t="shared" si="61"/>
        <v xml:space="preserve"> </v>
      </c>
      <c r="AD146" s="219">
        <f>IFERROR((ENTRI!Z146)," ")</f>
        <v>0</v>
      </c>
      <c r="AE146" s="219">
        <f>IFERROR((ENTRI!AA146)," ")</f>
        <v>0</v>
      </c>
      <c r="AF146" s="219">
        <f>IFERROR((ENTRI!AB146)," ")</f>
        <v>0</v>
      </c>
      <c r="AG146" s="219">
        <f>IFERROR((ENTRI!AC146)," ")</f>
        <v>0</v>
      </c>
      <c r="AH146" s="219">
        <f>IFERROR((ENTRI!AD146)," ")</f>
        <v>0</v>
      </c>
      <c r="AI146" s="219">
        <f>IFERROR((ENTRI!AE146)," ")</f>
        <v>0</v>
      </c>
      <c r="AJ146" s="219">
        <f>IFERROR((ENTRI!AF146)," ")</f>
        <v>0</v>
      </c>
      <c r="AK146" s="219">
        <f>IFERROR((ENTRI!AG146)," ")</f>
        <v>0</v>
      </c>
      <c r="AL146" s="219">
        <f>IFERROR((ENTRI!AH146)," ")</f>
        <v>0</v>
      </c>
      <c r="AM146" s="219">
        <f>IFERROR((ENTRI!AI146)," ")</f>
        <v>0</v>
      </c>
      <c r="AN146" s="219">
        <f>IFERROR((ENTRI!AJ146)," ")</f>
        <v>0</v>
      </c>
      <c r="AO146" s="219">
        <f>IFERROR((ENTRI!AK146)," ")</f>
        <v>0</v>
      </c>
      <c r="AP146" s="219">
        <f>IFERROR((ENTRI!AL146)," ")</f>
        <v>0</v>
      </c>
      <c r="AQ146" s="219">
        <f>IFERROR((ENTRI!AM146)," ")</f>
        <v>0</v>
      </c>
      <c r="AR146" s="216" t="str">
        <f>E146&amp;"."&amp;H146&amp;"."&amp;AW146&amp;"."&amp;ENTRI!$E$4</f>
        <v>07.01.139.2025</v>
      </c>
      <c r="AS146" t="str">
        <f>"YPP.QH/KP.01."&amp;E146&amp;"/"&amp;AW146&amp;"/"&amp;ENTRI!$E$4</f>
        <v>YPP.QH/KP.01.07/139/2025</v>
      </c>
      <c r="AW146" s="277" t="s">
        <v>1034</v>
      </c>
    </row>
    <row r="147">
      <c r="A147">
        <f t="shared" si="53"/>
        <v>163</v>
      </c>
      <c r="B147" s="276">
        <f t="shared" si="55"/>
        <v>2024</v>
      </c>
      <c r="C147" s="277">
        <v>140</v>
      </c>
      <c r="D147" s="219" t="str">
        <f>IFERROR(IF(ENTRI!B147=$AZ$9,$BA$9,IF(ENTRI!B147=$AZ$10,$BA$10,IF(ENTRI!B147=$AZ$11,$BA$11,IF(ENTRI!B147=$AZ$12,$BA$12,IF(ENTRI!B147=$AZ$13,$BA$13,IF(ENTRI!B147=$AZ$14,$BA$14,IF(ENTRI!B147=$AZ$15,$BA$15,IF(ENTRI!B147=$AZ$16,$BA$16,IF(ENTRI!B147=$AZ$17,$BA$17,IF(ENTRI!B147=$AZ$18,$BA$18," "))))))))))," ")</f>
        <v xml:space="preserve">MTs Qomarul Hidayah</v>
      </c>
      <c r="E147" s="219" t="str">
        <f>IFERROR((ENTRI!C147)," ")</f>
        <v>04</v>
      </c>
      <c r="F147" s="219">
        <f t="shared" si="56"/>
        <v>163</v>
      </c>
      <c r="G147" s="219" t="str">
        <f>IFERROR((ENTRI!E147)," ")</f>
        <v>Guru</v>
      </c>
      <c r="H147" s="219" t="str">
        <f>IFERROR((ENTRI!F147)," ")</f>
        <v>01</v>
      </c>
      <c r="I147" s="219" t="str">
        <f>IFERROR((ENTRI!G147)," ")</f>
        <v xml:space="preserve">HARIATI KHOIROH, S.Pd.</v>
      </c>
      <c r="J147" s="219" t="str">
        <f>IFERROR((ENTRI!H147)," ")</f>
        <v xml:space="preserve">19920518  202407 04 01 15</v>
      </c>
      <c r="K147" s="219" t="str">
        <f>IFERROR((ENTRI!I147)," ")</f>
        <v>Trenggalek</v>
      </c>
      <c r="L147" s="219" t="str">
        <f>IFERROR((ENTRI!J147)," ")</f>
        <v>18</v>
      </c>
      <c r="M147" s="219" t="str">
        <f>IFERROR((ENTRI!K147)," ")</f>
        <v>05</v>
      </c>
      <c r="N147" s="219">
        <f>IFERROR((ENTRI!L147)," ")</f>
        <v>1992</v>
      </c>
      <c r="O147" s="219" t="str">
        <f t="shared" si="57"/>
        <v xml:space="preserve">Trenggalek, 18-05-1992</v>
      </c>
      <c r="P147" s="219" t="str">
        <f>IFERROR((ENTRI!N147)," ")</f>
        <v>15</v>
      </c>
      <c r="Q147" s="219" t="str">
        <f>IFERROR((ENTRI!O147)," ")</f>
        <v>07</v>
      </c>
      <c r="R147" s="219">
        <f>IFERROR((ENTRI!P147)," ")</f>
        <v>2024</v>
      </c>
      <c r="S147" s="219" t="str">
        <f t="shared" si="58"/>
        <v>15-07-2024</v>
      </c>
      <c r="T147" s="219" t="str">
        <f>IFERROR((ENTRI!Q147)," ")</f>
        <v>15</v>
      </c>
      <c r="U147" s="219" t="str">
        <f>IFERROR((ENTRI!R147)," ")</f>
        <v>07</v>
      </c>
      <c r="V147" s="219">
        <f>IFERROR((ENTRI!S147)," ")</f>
        <v>2024</v>
      </c>
      <c r="W147" s="219" t="str">
        <f t="shared" si="59"/>
        <v>15-07-2024</v>
      </c>
      <c r="X147" s="219">
        <f>IFERROR((ENTRI!T147)," ")</f>
        <v>1</v>
      </c>
      <c r="Y147" s="219">
        <f>IFERROR((ENTRI!U147)," ")</f>
        <v>1</v>
      </c>
      <c r="Z147" s="219">
        <f>IFERROR((ENTRI!V147)," ")</f>
        <v>1</v>
      </c>
      <c r="AA147" s="219">
        <f>IFERROR((ENTRI!W147)," ")</f>
        <v>1</v>
      </c>
      <c r="AB147" s="219" t="str">
        <f>IFERROR((ENTRI!X147)," ")</f>
        <v>S1</v>
      </c>
      <c r="AC147" s="219" t="str">
        <f>IFERROR((ENTRI!Y147)," ")</f>
        <v xml:space="preserve">Bimbingan Konseling </v>
      </c>
      <c r="AD147" s="219">
        <f>IFERROR((ENTRI!Z147)," ")</f>
        <v>0</v>
      </c>
      <c r="AE147" s="219">
        <f>IFERROR((ENTRI!AA147)," ")</f>
        <v>0</v>
      </c>
      <c r="AF147" s="219">
        <f>IFERROR((ENTRI!AB147)," ")</f>
        <v>0</v>
      </c>
      <c r="AG147" s="219">
        <f>IFERROR((ENTRI!AC147)," ")</f>
        <v>0</v>
      </c>
      <c r="AH147" s="219">
        <f>IFERROR((ENTRI!AD147)," ")</f>
        <v>0</v>
      </c>
      <c r="AI147" s="219">
        <f>IFERROR((ENTRI!AE147)," ")</f>
        <v>0</v>
      </c>
      <c r="AJ147" s="219">
        <f>IFERROR((ENTRI!AF147)," ")</f>
        <v>0</v>
      </c>
      <c r="AK147" s="219">
        <f>IFERROR((ENTRI!AG147)," ")</f>
        <v>0</v>
      </c>
      <c r="AL147" s="219">
        <f>IFERROR((ENTRI!AH147)," ")</f>
        <v>0</v>
      </c>
      <c r="AM147" s="219">
        <f>IFERROR((ENTRI!AI147)," ")</f>
        <v>0</v>
      </c>
      <c r="AN147" s="219">
        <f>IFERROR((ENTRI!AJ147)," ")</f>
        <v>0</v>
      </c>
      <c r="AO147" s="219">
        <f>IFERROR((ENTRI!AK147)," ")</f>
        <v>0</v>
      </c>
      <c r="AP147" s="219">
        <f>IFERROR((ENTRI!AL147)," ")</f>
        <v>0</v>
      </c>
      <c r="AQ147" s="219">
        <f>IFERROR((ENTRI!AM147)," ")</f>
        <v>0</v>
      </c>
      <c r="AR147" s="216" t="str">
        <f>E147&amp;"."&amp;H147&amp;"."&amp;AW147&amp;"."&amp;ENTRI!$E$4</f>
        <v>04.01.140.2025</v>
      </c>
      <c r="AS147" t="str">
        <f>"YPP.QH/KP.01."&amp;E147&amp;"/"&amp;AW147&amp;"/"&amp;ENTRI!$E$4</f>
        <v>YPP.QH/KP.01.04/140/2025</v>
      </c>
      <c r="AW147" s="277" t="s">
        <v>1035</v>
      </c>
    </row>
    <row r="148">
      <c r="A148" t="e">
        <f t="shared" si="53"/>
        <v>#VALUE!</v>
      </c>
      <c r="B148" s="276" t="str">
        <f t="shared" si="55"/>
        <v xml:space="preserve"> </v>
      </c>
      <c r="C148" s="277">
        <v>141</v>
      </c>
      <c r="D148" s="219" t="str">
        <f>IFERROR(IF(ENTRI!#REF!=$AZ$9,$BA$9,IF(ENTRI!#REF!=$AZ$10,$BA$10,IF(ENTRI!#REF!=$AZ$11,$BA$11,IF(ENTRI!#REF!=$AZ$12,$BA$12,IF(ENTRI!#REF!=$AZ$13,$BA$13,IF(ENTRI!#REF!=$AZ$14,$BA$14,IF(ENTRI!#REF!=$AZ$15,$BA$15,IF(ENTRI!#REF!=$AZ$16,$BA$16,IF(ENTRI!#REF!=$AZ$17,$BA$17,IF(ENTRI!#REF!=$AZ$18,$BA$18," "))))))))))," ")</f>
        <v xml:space="preserve"> </v>
      </c>
      <c r="E148" s="219" t="str">
        <f>IFERROR((ENTRI!#REF!)," ")</f>
        <v xml:space="preserve"> </v>
      </c>
      <c r="F148" s="219" t="e">
        <f t="shared" si="56"/>
        <v>#VALUE!</v>
      </c>
      <c r="G148" s="219" t="str">
        <f>IFERROR((ENTRI!#REF!)," ")</f>
        <v xml:space="preserve"> </v>
      </c>
      <c r="H148" s="219" t="str">
        <f>IFERROR((ENTRI!#REF!)," ")</f>
        <v xml:space="preserve"> </v>
      </c>
      <c r="I148" s="219" t="str">
        <f>IFERROR((ENTRI!#REF!)," ")</f>
        <v xml:space="preserve"> </v>
      </c>
      <c r="J148" s="219" t="str">
        <f>IFERROR((ENTRI!#REF!)," ")</f>
        <v xml:space="preserve"> </v>
      </c>
      <c r="K148" s="219" t="str">
        <f>IFERROR((ENTRI!#REF!)," ")</f>
        <v xml:space="preserve"> </v>
      </c>
      <c r="L148" s="219" t="str">
        <f>IFERROR((ENTRI!#REF!)," ")</f>
        <v xml:space="preserve"> </v>
      </c>
      <c r="M148" s="219" t="str">
        <f>IFERROR((ENTRI!#REF!)," ")</f>
        <v xml:space="preserve"> </v>
      </c>
      <c r="N148" s="219" t="str">
        <f>IFERROR((ENTRI!#REF!)," ")</f>
        <v xml:space="preserve"> </v>
      </c>
      <c r="O148" s="219" t="str">
        <f t="shared" si="57"/>
        <v xml:space="preserve"> ,  - - </v>
      </c>
      <c r="P148" s="219" t="str">
        <f>IFERROR((ENTRI!#REF!)," ")</f>
        <v xml:space="preserve"> </v>
      </c>
      <c r="Q148" s="219" t="str">
        <f>IFERROR((ENTRI!#REF!)," ")</f>
        <v xml:space="preserve"> </v>
      </c>
      <c r="R148" s="219" t="str">
        <f>IFERROR((ENTRI!#REF!)," ")</f>
        <v xml:space="preserve"> </v>
      </c>
      <c r="S148" s="219" t="str">
        <f t="shared" si="58"/>
        <v xml:space="preserve"> - - </v>
      </c>
      <c r="T148" s="219" t="str">
        <f>IFERROR((ENTRI!#REF!)," ")</f>
        <v xml:space="preserve"> </v>
      </c>
      <c r="U148" s="219" t="str">
        <f>IFERROR((ENTRI!#REF!)," ")</f>
        <v xml:space="preserve"> </v>
      </c>
      <c r="V148" s="219" t="str">
        <f>IFERROR((ENTRI!#REF!)," ")</f>
        <v xml:space="preserve"> </v>
      </c>
      <c r="W148" s="219" t="str">
        <f t="shared" si="59"/>
        <v xml:space="preserve"> - - </v>
      </c>
      <c r="X148" s="219" t="str">
        <f>IFERROR((ENTRI!#REF!)," ")</f>
        <v xml:space="preserve"> </v>
      </c>
      <c r="Y148" s="219" t="str">
        <f>IFERROR((ENTRI!#REF!)," ")</f>
        <v xml:space="preserve"> </v>
      </c>
      <c r="Z148" s="219" t="str">
        <f>IFERROR((ENTRI!#REF!)," ")</f>
        <v xml:space="preserve"> </v>
      </c>
      <c r="AA148" s="219" t="str">
        <f>IFERROR((ENTRI!#REF!)," ")</f>
        <v xml:space="preserve"> </v>
      </c>
      <c r="AB148" s="219" t="str">
        <f>IFERROR((ENTRI!#REF!)," ")</f>
        <v xml:space="preserve"> </v>
      </c>
      <c r="AC148" s="219" t="str">
        <f>IFERROR((ENTRI!#REF!)," ")</f>
        <v xml:space="preserve"> </v>
      </c>
      <c r="AD148" s="219" t="str">
        <f>IFERROR((ENTRI!#REF!)," ")</f>
        <v xml:space="preserve"> </v>
      </c>
      <c r="AE148" s="219" t="str">
        <f>IFERROR((ENTRI!#REF!)," ")</f>
        <v xml:space="preserve"> </v>
      </c>
      <c r="AF148" s="219" t="str">
        <f>IFERROR((ENTRI!#REF!)," ")</f>
        <v xml:space="preserve"> </v>
      </c>
      <c r="AG148" s="219" t="str">
        <f>IFERROR((ENTRI!#REF!)," ")</f>
        <v xml:space="preserve"> </v>
      </c>
      <c r="AH148" s="219" t="str">
        <f>IFERROR((ENTRI!#REF!)," ")</f>
        <v xml:space="preserve"> </v>
      </c>
      <c r="AI148" s="219" t="str">
        <f>IFERROR((ENTRI!#REF!)," ")</f>
        <v xml:space="preserve"> </v>
      </c>
      <c r="AJ148" s="219" t="str">
        <f>IFERROR((ENTRI!#REF!)," ")</f>
        <v xml:space="preserve"> </v>
      </c>
      <c r="AK148" s="219" t="str">
        <f>IFERROR((ENTRI!#REF!)," ")</f>
        <v xml:space="preserve"> </v>
      </c>
      <c r="AL148" s="219" t="str">
        <f>IFERROR((ENTRI!#REF!)," ")</f>
        <v xml:space="preserve"> </v>
      </c>
      <c r="AM148" s="219" t="str">
        <f>IFERROR((ENTRI!#REF!)," ")</f>
        <v xml:space="preserve"> </v>
      </c>
      <c r="AN148" s="219" t="str">
        <f>IFERROR((ENTRI!#REF!)," ")</f>
        <v xml:space="preserve"> </v>
      </c>
      <c r="AO148" s="219" t="str">
        <f>IFERROR((ENTRI!#REF!)," ")</f>
        <v xml:space="preserve"> </v>
      </c>
      <c r="AP148" s="219" t="str">
        <f>IFERROR((ENTRI!#REF!)," ")</f>
        <v xml:space="preserve"> </v>
      </c>
      <c r="AQ148" s="219" t="str">
        <f>IFERROR((ENTRI!#REF!)," ")</f>
        <v xml:space="preserve"> </v>
      </c>
      <c r="AR148" s="216" t="str">
        <f>E148&amp;"."&amp;H148&amp;"."&amp;AW148&amp;"."&amp;ENTRI!$E$4</f>
        <v xml:space="preserve"> . .141.2025</v>
      </c>
      <c r="AS148" t="str">
        <f>"YPP.QH/KP.01."&amp;E148&amp;"/"&amp;AW148&amp;"/"&amp;ENTRI!$E$4</f>
        <v xml:space="preserve">YPP.QH/KP.01. /141/2025</v>
      </c>
      <c r="AW148" s="277" t="s">
        <v>1036</v>
      </c>
    </row>
    <row r="149">
      <c r="A149">
        <f t="shared" si="53"/>
        <v>155</v>
      </c>
      <c r="B149" s="276">
        <f t="shared" si="55"/>
        <v>2023</v>
      </c>
      <c r="C149" s="277">
        <v>142</v>
      </c>
      <c r="D149" s="219" t="str">
        <f>IFERROR(IF(ENTRI!B148=$AZ$9,$BA$9,IF(ENTRI!B148=$AZ$10,$BA$10,IF(ENTRI!B148=$AZ$11,$BA$11,IF(ENTRI!B148=$AZ$12,$BA$12,IF(ENTRI!B148=$AZ$13,$BA$13,IF(ENTRI!B148=$AZ$14,$BA$14,IF(ENTRI!B148=$AZ$15,$BA$15,IF(ENTRI!B148=$AZ$16,$BA$16,IF(ENTRI!B148=$AZ$17,$BA$17,IF(ENTRI!B148=$AZ$18,$BA$18," "))))))))))," ")</f>
        <v xml:space="preserve">MI Qomarul Hidayah</v>
      </c>
      <c r="E149" s="219" t="str">
        <f>IFERROR((ENTRI!C148)," ")</f>
        <v>03</v>
      </c>
      <c r="F149" s="219">
        <f t="shared" si="56"/>
        <v>155</v>
      </c>
      <c r="G149" s="219" t="str">
        <f>IFERROR((ENTRI!E148)," ")</f>
        <v>Guru</v>
      </c>
      <c r="H149" s="219" t="str">
        <f>IFERROR((ENTRI!F148)," ")</f>
        <v>01</v>
      </c>
      <c r="I149" s="219" t="str">
        <f>IFERROR((ENTRI!G148)," ")</f>
        <v xml:space="preserve">NAVIDA AMALIA, S.Pd.</v>
      </c>
      <c r="J149" s="219" t="str">
        <f>IFERROR((ENTRI!H148)," ")</f>
        <v xml:space="preserve">20000427  202307 03 01 17</v>
      </c>
      <c r="K149" s="219" t="str">
        <f>IFERROR((ENTRI!I148)," ")</f>
        <v>Trenggalek</v>
      </c>
      <c r="L149" s="219" t="str">
        <f>IFERROR((ENTRI!J148)," ")</f>
        <v>27</v>
      </c>
      <c r="M149" s="219" t="str">
        <f>IFERROR((ENTRI!K148)," ")</f>
        <v>04</v>
      </c>
      <c r="N149" s="219">
        <f>IFERROR((ENTRI!L148)," ")</f>
        <v>2000</v>
      </c>
      <c r="O149" s="219" t="str">
        <f t="shared" si="57"/>
        <v xml:space="preserve">Trenggalek, 27-04-2000</v>
      </c>
      <c r="P149" s="219" t="str">
        <f>IFERROR((ENTRI!N148)," ")</f>
        <v>17</v>
      </c>
      <c r="Q149" s="219" t="str">
        <f>IFERROR((ENTRI!O148)," ")</f>
        <v>07</v>
      </c>
      <c r="R149" s="219">
        <f>IFERROR((ENTRI!P148)," ")</f>
        <v>2023</v>
      </c>
      <c r="S149" s="219" t="str">
        <f t="shared" si="58"/>
        <v>17-07-2023</v>
      </c>
      <c r="T149" s="219" t="str">
        <f>IFERROR((ENTRI!Q148)," ")</f>
        <v>17</v>
      </c>
      <c r="U149" s="219" t="str">
        <f>IFERROR((ENTRI!R148)," ")</f>
        <v>07</v>
      </c>
      <c r="V149" s="219">
        <f>IFERROR((ENTRI!S148)," ")</f>
        <v>2023</v>
      </c>
      <c r="W149" s="219" t="str">
        <f t="shared" si="59"/>
        <v>17-07-2023</v>
      </c>
      <c r="X149" s="219">
        <f>IFERROR((ENTRI!T148)," ")</f>
        <v>2</v>
      </c>
      <c r="Y149" s="219">
        <f>IFERROR((ENTRI!U148)," ")</f>
        <v>2</v>
      </c>
      <c r="Z149" s="219">
        <f>IFERROR((ENTRI!V148)," ")</f>
        <v>2</v>
      </c>
      <c r="AA149" s="219">
        <f>IFERROR((ENTRI!W148)," ")</f>
        <v>2</v>
      </c>
      <c r="AB149" s="219" t="str">
        <f>IFERROR((ENTRI!X148)," ")</f>
        <v>S1</v>
      </c>
      <c r="AC149" s="219" t="str">
        <f>IFERROR((ENTRI!Y148)," ")</f>
        <v xml:space="preserve">Pendidikan Agama Islam</v>
      </c>
      <c r="AD149" s="219">
        <f>IFERROR((ENTRI!Z148)," ")</f>
        <v>0</v>
      </c>
      <c r="AE149" s="219">
        <f>IFERROR((ENTRI!AA148)," ")</f>
        <v>0</v>
      </c>
      <c r="AF149" s="219">
        <f>IFERROR((ENTRI!AB148)," ")</f>
        <v>0</v>
      </c>
      <c r="AG149" s="219">
        <f>IFERROR((ENTRI!AC148)," ")</f>
        <v>0</v>
      </c>
      <c r="AH149" s="219">
        <f>IFERROR((ENTRI!AD148)," ")</f>
        <v>0</v>
      </c>
      <c r="AI149" s="219">
        <f>IFERROR((ENTRI!AE148)," ")</f>
        <v>0</v>
      </c>
      <c r="AJ149" s="219">
        <f>IFERROR((ENTRI!AF148)," ")</f>
        <v>0</v>
      </c>
      <c r="AK149" s="219">
        <f>IFERROR((ENTRI!AG148)," ")</f>
        <v>0</v>
      </c>
      <c r="AL149" s="219">
        <f>IFERROR((ENTRI!AH148)," ")</f>
        <v>0</v>
      </c>
      <c r="AM149" s="219">
        <f>IFERROR((ENTRI!AI148)," ")</f>
        <v>0</v>
      </c>
      <c r="AN149" s="219">
        <f>IFERROR((ENTRI!AJ148)," ")</f>
        <v>0</v>
      </c>
      <c r="AO149" s="219">
        <f>IFERROR((ENTRI!AK148)," ")</f>
        <v>0</v>
      </c>
      <c r="AP149" s="219">
        <f>IFERROR((ENTRI!AL148)," ")</f>
        <v>0</v>
      </c>
      <c r="AQ149" s="219">
        <f>IFERROR((ENTRI!AM148)," ")</f>
        <v>0</v>
      </c>
      <c r="AR149" s="216" t="str">
        <f>E149&amp;"."&amp;H149&amp;"."&amp;AW149&amp;"."&amp;ENTRI!$E$4</f>
        <v>03.01.142.2025</v>
      </c>
      <c r="AS149" t="str">
        <f>"YPP.QH/KP.01."&amp;E149&amp;"/"&amp;AW149&amp;"/"&amp;ENTRI!$E$4</f>
        <v>YPP.QH/KP.01.03/142/2025</v>
      </c>
      <c r="AW149" s="277" t="s">
        <v>1037</v>
      </c>
    </row>
    <row r="150">
      <c r="A150">
        <f t="shared" si="53"/>
        <v>137</v>
      </c>
      <c r="B150" s="276">
        <f t="shared" si="55"/>
        <v>2021</v>
      </c>
      <c r="C150" s="277">
        <v>143</v>
      </c>
      <c r="D150" s="219" t="str">
        <f>IFERROR(IF(ENTRI!B149=$AZ$9,$BA$9,IF(ENTRI!B149=$AZ$10,$BA$10,IF(ENTRI!B149=$AZ$11,$BA$11,IF(ENTRI!B149=$AZ$12,$BA$12,IF(ENTRI!B149=$AZ$13,$BA$13,IF(ENTRI!B149=$AZ$14,$BA$14,IF(ENTRI!B149=$AZ$15,$BA$15,IF(ENTRI!B149=$AZ$16,$BA$16,IF(ENTRI!B149=$AZ$17,$BA$17,IF(ENTRI!B149=$AZ$18,$BA$18," "))))))))))," ")</f>
        <v xml:space="preserve">MTs Qomarul Hidayah</v>
      </c>
      <c r="E150" s="219" t="str">
        <f>IFERROR((ENTRI!C149)," ")</f>
        <v>04</v>
      </c>
      <c r="F150" s="219">
        <f t="shared" si="56"/>
        <v>137</v>
      </c>
      <c r="G150" s="219" t="str">
        <f>IFERROR((ENTRI!E149)," ")</f>
        <v>Guru</v>
      </c>
      <c r="H150" s="219" t="str">
        <f>IFERROR((ENTRI!F149)," ")</f>
        <v>01</v>
      </c>
      <c r="I150" s="219" t="str">
        <f>IFERROR((ENTRI!G149)," ")</f>
        <v xml:space="preserve">FAJAR SHOLAHUDDIN ,S.Pd.</v>
      </c>
      <c r="J150" s="219" t="str">
        <f>IFERROR((ENTRI!H149)," ")</f>
        <v xml:space="preserve">19990118  202107 04 01 12</v>
      </c>
      <c r="K150" s="219" t="str">
        <f>IFERROR((ENTRI!I149)," ")</f>
        <v>Trenggalek</v>
      </c>
      <c r="L150" s="219" t="str">
        <f>IFERROR((ENTRI!J149)," ")</f>
        <v>18</v>
      </c>
      <c r="M150" s="219" t="str">
        <f>IFERROR((ENTRI!K149)," ")</f>
        <v>01</v>
      </c>
      <c r="N150" s="219">
        <f>IFERROR((ENTRI!L149)," ")</f>
        <v>1999</v>
      </c>
      <c r="O150" s="219" t="str">
        <f t="shared" si="57"/>
        <v xml:space="preserve">Trenggalek, 18-01-1999</v>
      </c>
      <c r="P150" s="219" t="str">
        <f>IFERROR((ENTRI!N149)," ")</f>
        <v>12</v>
      </c>
      <c r="Q150" s="219" t="str">
        <f>IFERROR((ENTRI!O149)," ")</f>
        <v>07</v>
      </c>
      <c r="R150" s="219">
        <f>IFERROR((ENTRI!P149)," ")</f>
        <v>2021</v>
      </c>
      <c r="S150" s="219" t="str">
        <f t="shared" si="58"/>
        <v>12-07-2021</v>
      </c>
      <c r="T150" s="219" t="str">
        <f>IFERROR((ENTRI!Q149)," ")</f>
        <v>12</v>
      </c>
      <c r="U150" s="219" t="str">
        <f>IFERROR((ENTRI!R149)," ")</f>
        <v>07</v>
      </c>
      <c r="V150" s="219">
        <f>IFERROR((ENTRI!S149)," ")</f>
        <v>2021</v>
      </c>
      <c r="W150" s="219" t="str">
        <f t="shared" si="59"/>
        <v>12-07-2021</v>
      </c>
      <c r="X150" s="219">
        <f>IFERROR((ENTRI!T149)," ")</f>
        <v>4</v>
      </c>
      <c r="Y150" s="219">
        <f>IFERROR((ENTRI!U149)," ")</f>
        <v>4</v>
      </c>
      <c r="Z150" s="219">
        <f>IFERROR((ENTRI!V149)," ")</f>
        <v>4</v>
      </c>
      <c r="AA150" s="219">
        <f>IFERROR((ENTRI!W149)," ")</f>
        <v>4</v>
      </c>
      <c r="AB150" s="219" t="str">
        <f>IFERROR((ENTRI!X149)," ")</f>
        <v>S1</v>
      </c>
      <c r="AC150" s="219" t="str">
        <f>IFERROR((ENTRI!Y149)," ")</f>
        <v xml:space="preserve">BAHASA INDONESIA</v>
      </c>
      <c r="AD150" s="219">
        <f>IFERROR((ENTRI!Z149)," ")</f>
        <v>0</v>
      </c>
      <c r="AE150" s="219">
        <f>IFERROR((ENTRI!AA149)," ")</f>
        <v>0</v>
      </c>
      <c r="AF150" s="219">
        <f>IFERROR((ENTRI!AB149)," ")</f>
        <v>0</v>
      </c>
      <c r="AG150" s="219">
        <f>IFERROR((ENTRI!AC149)," ")</f>
        <v>0</v>
      </c>
      <c r="AH150" s="219">
        <f>IFERROR((ENTRI!AD149)," ")</f>
        <v>0</v>
      </c>
      <c r="AI150" s="219">
        <f>IFERROR((ENTRI!AE149)," ")</f>
        <v>0</v>
      </c>
      <c r="AJ150" s="219">
        <f>IFERROR((ENTRI!AF149)," ")</f>
        <v>0</v>
      </c>
      <c r="AK150" s="219">
        <f>IFERROR((ENTRI!AG149)," ")</f>
        <v>0</v>
      </c>
      <c r="AL150" s="219">
        <f>IFERROR((ENTRI!AH149)," ")</f>
        <v>0</v>
      </c>
      <c r="AM150" s="219">
        <f>IFERROR((ENTRI!AI149)," ")</f>
        <v>0</v>
      </c>
      <c r="AN150" s="219">
        <f>IFERROR((ENTRI!AJ149)," ")</f>
        <v>0</v>
      </c>
      <c r="AO150" s="219">
        <f>IFERROR((ENTRI!AK149)," ")</f>
        <v>0</v>
      </c>
      <c r="AP150" s="219">
        <f>IFERROR((ENTRI!AL149)," ")</f>
        <v>0</v>
      </c>
      <c r="AQ150" s="219">
        <f>IFERROR((ENTRI!AM149)," ")</f>
        <v>0</v>
      </c>
      <c r="AR150" s="216" t="str">
        <f>E150&amp;"."&amp;H150&amp;"."&amp;AW150&amp;"."&amp;ENTRI!$E$4</f>
        <v>04.01.143.2025</v>
      </c>
      <c r="AS150" t="str">
        <f>"YPP.QH/KP.01."&amp;E150&amp;"/"&amp;AW150&amp;"/"&amp;ENTRI!$E$4</f>
        <v>YPP.QH/KP.01.04/143/2025</v>
      </c>
      <c r="AW150" s="277" t="s">
        <v>1038</v>
      </c>
    </row>
    <row r="151">
      <c r="A151">
        <f t="shared" si="53"/>
        <v>163</v>
      </c>
      <c r="B151" s="276">
        <f t="shared" si="55"/>
        <v>2024</v>
      </c>
      <c r="C151" s="277">
        <v>144</v>
      </c>
      <c r="D151" s="219" t="str">
        <f>IFERROR(IF(ENTRI!B150=$AZ$9,$BA$9,IF(ENTRI!B150=$AZ$10,$BA$10,IF(ENTRI!B150=$AZ$11,$BA$11,IF(ENTRI!B150=$AZ$12,$BA$12,IF(ENTRI!B150=$AZ$13,$BA$13,IF(ENTRI!B150=$AZ$14,$BA$14,IF(ENTRI!B150=$AZ$15,$BA$15,IF(ENTRI!B150=$AZ$16,$BA$16,IF(ENTRI!B150=$AZ$17,$BA$17,IF(ENTRI!B150=$AZ$18,$BA$18," "))))))))))," ")</f>
        <v xml:space="preserve">MTs Qomarul Hidayah</v>
      </c>
      <c r="E151" s="219" t="str">
        <f>IFERROR((ENTRI!C150)," ")</f>
        <v>04</v>
      </c>
      <c r="F151" s="219">
        <f t="shared" si="56"/>
        <v>163</v>
      </c>
      <c r="G151" s="219" t="str">
        <f>IFERROR((ENTRI!E150)," ")</f>
        <v>Guru</v>
      </c>
      <c r="H151" s="219" t="str">
        <f>IFERROR((ENTRI!F150)," ")</f>
        <v>01</v>
      </c>
      <c r="I151" s="219" t="str">
        <f>IFERROR((ENTRI!G150)," ")</f>
        <v xml:space="preserve">TATU' NURMALA, S.Pd.</v>
      </c>
      <c r="J151" s="219" t="str">
        <f>IFERROR((ENTRI!H150)," ")</f>
        <v xml:space="preserve">20001128  202407 04 01 12</v>
      </c>
      <c r="K151" s="219" t="str">
        <f>IFERROR((ENTRI!I150)," ")</f>
        <v>Trenggalek</v>
      </c>
      <c r="L151" s="219" t="str">
        <f>IFERROR((ENTRI!J150)," ")</f>
        <v>28</v>
      </c>
      <c r="M151" s="219" t="str">
        <f>IFERROR((ENTRI!K150)," ")</f>
        <v>11</v>
      </c>
      <c r="N151" s="219">
        <f>IFERROR((ENTRI!L150)," ")</f>
        <v>2000</v>
      </c>
      <c r="O151" s="219" t="str">
        <f t="shared" si="57"/>
        <v xml:space="preserve">Trenggalek, 28-11-2000</v>
      </c>
      <c r="P151" s="219" t="str">
        <f>IFERROR((ENTRI!N150)," ")</f>
        <v>15</v>
      </c>
      <c r="Q151" s="219" t="str">
        <f>IFERROR((ENTRI!O150)," ")</f>
        <v>07</v>
      </c>
      <c r="R151" s="219">
        <f>IFERROR((ENTRI!P150)," ")</f>
        <v>2024</v>
      </c>
      <c r="S151" s="219" t="str">
        <f t="shared" si="58"/>
        <v>15-07-2024</v>
      </c>
      <c r="T151" s="219" t="str">
        <f>IFERROR((ENTRI!Q150)," ")</f>
        <v>15</v>
      </c>
      <c r="U151" s="219" t="str">
        <f>IFERROR((ENTRI!R150)," ")</f>
        <v>07</v>
      </c>
      <c r="V151" s="219">
        <f>IFERROR((ENTRI!S150)," ")</f>
        <v>2024</v>
      </c>
      <c r="W151" s="219" t="str">
        <f t="shared" si="59"/>
        <v>15-07-2024</v>
      </c>
      <c r="X151" s="219">
        <f>IFERROR((ENTRI!T150)," ")</f>
        <v>1</v>
      </c>
      <c r="Y151" s="219">
        <f>IFERROR((ENTRI!U150)," ")</f>
        <v>1</v>
      </c>
      <c r="Z151" s="219">
        <f>IFERROR((ENTRI!V150)," ")</f>
        <v>1</v>
      </c>
      <c r="AA151" s="219">
        <f>IFERROR((ENTRI!W150)," ")</f>
        <v>1</v>
      </c>
      <c r="AB151" s="219" t="str">
        <f>IFERROR((ENTRI!X150)," ")</f>
        <v>S1</v>
      </c>
      <c r="AC151" s="219" t="str">
        <f>IFERROR((ENTRI!Y150)," ")</f>
        <v xml:space="preserve">PENDIDIKAN BAHASA ARAB</v>
      </c>
      <c r="AD151" s="219">
        <f>IFERROR((ENTRI!Z150)," ")</f>
        <v>0</v>
      </c>
      <c r="AE151" s="219">
        <f>IFERROR((ENTRI!AA150)," ")</f>
        <v>0</v>
      </c>
      <c r="AF151" s="219">
        <f>IFERROR((ENTRI!AB150)," ")</f>
        <v>0</v>
      </c>
      <c r="AG151" s="219">
        <f>IFERROR((ENTRI!AC150)," ")</f>
        <v>0</v>
      </c>
      <c r="AH151" s="219">
        <f>IFERROR((ENTRI!AD150)," ")</f>
        <v>0</v>
      </c>
      <c r="AI151" s="219">
        <f>IFERROR((ENTRI!AE150)," ")</f>
        <v>0</v>
      </c>
      <c r="AJ151" s="219">
        <f>IFERROR((ENTRI!AF150)," ")</f>
        <v>0</v>
      </c>
      <c r="AK151" s="219">
        <f>IFERROR((ENTRI!AG150)," ")</f>
        <v>0</v>
      </c>
      <c r="AL151" s="219">
        <f>IFERROR((ENTRI!AH150)," ")</f>
        <v>0</v>
      </c>
      <c r="AM151" s="219">
        <f>IFERROR((ENTRI!AI150)," ")</f>
        <v>0</v>
      </c>
      <c r="AN151" s="219">
        <f>IFERROR((ENTRI!AJ150)," ")</f>
        <v>0</v>
      </c>
      <c r="AO151" s="219">
        <f>IFERROR((ENTRI!AK150)," ")</f>
        <v>0</v>
      </c>
      <c r="AP151" s="219">
        <f>IFERROR((ENTRI!AL150)," ")</f>
        <v>0</v>
      </c>
      <c r="AQ151" s="219">
        <f>IFERROR((ENTRI!AM150)," ")</f>
        <v>0</v>
      </c>
      <c r="AR151" s="216" t="str">
        <f>E151&amp;"."&amp;H151&amp;"."&amp;AW151&amp;"."&amp;ENTRI!$E$4</f>
        <v>04.01.144.2025</v>
      </c>
      <c r="AS151" t="str">
        <f>"YPP.QH/KP.01."&amp;E151&amp;"/"&amp;AW151&amp;"/"&amp;ENTRI!$E$4</f>
        <v>YPP.QH/KP.01.04/144/2025</v>
      </c>
      <c r="AW151" s="277" t="s">
        <v>1039</v>
      </c>
    </row>
    <row r="152">
      <c r="A152">
        <f t="shared" si="53"/>
        <v>155</v>
      </c>
      <c r="B152" s="276">
        <f t="shared" si="55"/>
        <v>2023</v>
      </c>
      <c r="C152" s="277">
        <v>145</v>
      </c>
      <c r="D152" s="219" t="str">
        <f>IFERROR(IF(ENTRI!B151=$AZ$9,$BA$9,IF(ENTRI!B151=$AZ$10,$BA$10,IF(ENTRI!B151=$AZ$11,$BA$11,IF(ENTRI!B151=$AZ$12,$BA$12,IF(ENTRI!B151=$AZ$13,$BA$13,IF(ENTRI!B151=$AZ$14,$BA$14,IF(ENTRI!B151=$AZ$15,$BA$15,IF(ENTRI!B151=$AZ$16,$BA$16,IF(ENTRI!B151=$AZ$17,$BA$17,IF(ENTRI!B151=$AZ$18,$BA$18," "))))))))))," ")</f>
        <v xml:space="preserve">MTs Qomarul Hidayah</v>
      </c>
      <c r="E152" s="219" t="str">
        <f>IFERROR((ENTRI!C151)," ")</f>
        <v>04</v>
      </c>
      <c r="F152" s="219">
        <f t="shared" si="56"/>
        <v>155</v>
      </c>
      <c r="G152" s="219" t="str">
        <f>IFERROR((ENTRI!E151)," ")</f>
        <v>Guru</v>
      </c>
      <c r="H152" s="219" t="str">
        <f>IFERROR((ENTRI!F151)," ")</f>
        <v>01</v>
      </c>
      <c r="I152" s="219" t="str">
        <f>IFERROR((ENTRI!G151)," ")</f>
        <v xml:space="preserve">ZULFIANA SULHA ULUWIYA, S.Pd.</v>
      </c>
      <c r="J152" s="219" t="str">
        <f>IFERROR((ENTRI!H151)," ")</f>
        <v xml:space="preserve">19981120  202307 04 01 17</v>
      </c>
      <c r="K152" s="219" t="str">
        <f>IFERROR((ENTRI!I151)," ")</f>
        <v>Trenggalek</v>
      </c>
      <c r="L152" s="219" t="str">
        <f>IFERROR((ENTRI!J151)," ")</f>
        <v>20</v>
      </c>
      <c r="M152" s="219" t="str">
        <f>IFERROR((ENTRI!K151)," ")</f>
        <v>11</v>
      </c>
      <c r="N152" s="219">
        <f>IFERROR((ENTRI!L151)," ")</f>
        <v>1998</v>
      </c>
      <c r="O152" s="219" t="str">
        <f t="shared" si="57"/>
        <v xml:space="preserve">Trenggalek, 20-11-1998</v>
      </c>
      <c r="P152" s="219" t="str">
        <f>IFERROR((ENTRI!N151)," ")</f>
        <v>17</v>
      </c>
      <c r="Q152" s="219" t="str">
        <f>IFERROR((ENTRI!O151)," ")</f>
        <v>07</v>
      </c>
      <c r="R152" s="219">
        <f>IFERROR((ENTRI!P151)," ")</f>
        <v>2023</v>
      </c>
      <c r="S152" s="219" t="str">
        <f t="shared" si="58"/>
        <v>17-07-2023</v>
      </c>
      <c r="T152" s="219" t="str">
        <f>IFERROR((ENTRI!Q151)," ")</f>
        <v>17</v>
      </c>
      <c r="U152" s="219" t="str">
        <f>IFERROR((ENTRI!R151)," ")</f>
        <v>07</v>
      </c>
      <c r="V152" s="219">
        <f>IFERROR((ENTRI!S151)," ")</f>
        <v>2023</v>
      </c>
      <c r="W152" s="219" t="str">
        <f t="shared" si="59"/>
        <v>17-07-2023</v>
      </c>
      <c r="X152" s="219">
        <f>IFERROR((ENTRI!T151)," ")</f>
        <v>2</v>
      </c>
      <c r="Y152" s="219">
        <f>IFERROR((ENTRI!U151)," ")</f>
        <v>2</v>
      </c>
      <c r="Z152" s="219">
        <f>IFERROR((ENTRI!V151)," ")</f>
        <v>2</v>
      </c>
      <c r="AA152" s="219">
        <f>IFERROR((ENTRI!W151)," ")</f>
        <v>2</v>
      </c>
      <c r="AB152" s="219" t="str">
        <f>IFERROR((ENTRI!X151)," ")</f>
        <v>S1</v>
      </c>
      <c r="AC152" s="219" t="str">
        <f>IFERROR((ENTRI!Y151)," ")</f>
        <v xml:space="preserve">PENDIDIKAN BAHASA ARAB</v>
      </c>
      <c r="AD152" s="219">
        <f>IFERROR((ENTRI!Z151)," ")</f>
        <v>0</v>
      </c>
      <c r="AE152" s="219">
        <f>IFERROR((ENTRI!AA151)," ")</f>
        <v>0</v>
      </c>
      <c r="AF152" s="219">
        <f>IFERROR((ENTRI!AB151)," ")</f>
        <v>0</v>
      </c>
      <c r="AG152" s="219">
        <f>IFERROR((ENTRI!AC151)," ")</f>
        <v>0</v>
      </c>
      <c r="AH152" s="219">
        <f>IFERROR((ENTRI!AD151)," ")</f>
        <v>0</v>
      </c>
      <c r="AI152" s="219">
        <f>IFERROR((ENTRI!AE151)," ")</f>
        <v>0</v>
      </c>
      <c r="AJ152" s="219">
        <f>IFERROR((ENTRI!AF151)," ")</f>
        <v>0</v>
      </c>
      <c r="AK152" s="219">
        <f>IFERROR((ENTRI!AG151)," ")</f>
        <v>0</v>
      </c>
      <c r="AL152" s="219">
        <f>IFERROR((ENTRI!AH151)," ")</f>
        <v>0</v>
      </c>
      <c r="AM152" s="219">
        <f>IFERROR((ENTRI!AI151)," ")</f>
        <v>0</v>
      </c>
      <c r="AN152" s="219">
        <f>IFERROR((ENTRI!AJ151)," ")</f>
        <v>0</v>
      </c>
      <c r="AO152" s="219">
        <f>IFERROR((ENTRI!AK151)," ")</f>
        <v>0</v>
      </c>
      <c r="AP152" s="219">
        <f>IFERROR((ENTRI!AL151)," ")</f>
        <v>0</v>
      </c>
      <c r="AQ152" s="219">
        <f>IFERROR((ENTRI!AM151)," ")</f>
        <v>0</v>
      </c>
      <c r="AR152" s="216" t="str">
        <f>E152&amp;"."&amp;H152&amp;"."&amp;AW152&amp;"."&amp;ENTRI!$E$4</f>
        <v>04.01.145.2025</v>
      </c>
      <c r="AS152" t="str">
        <f>"YPP.QH/KP.01."&amp;E152&amp;"/"&amp;AW152&amp;"/"&amp;ENTRI!$E$4</f>
        <v>YPP.QH/KP.01.04/145/2025</v>
      </c>
      <c r="AW152" s="277" t="s">
        <v>1040</v>
      </c>
    </row>
    <row r="153">
      <c r="A153">
        <f t="shared" si="53"/>
        <v>137</v>
      </c>
      <c r="B153" s="276">
        <f t="shared" si="55"/>
        <v>2021</v>
      </c>
      <c r="C153" s="277">
        <v>146</v>
      </c>
      <c r="D153" s="219" t="str">
        <f>IFERROR(IF(ENTRI!B152=$AZ$9,$BA$9,IF(ENTRI!B152=$AZ$10,$BA$10,IF(ENTRI!B152=$AZ$11,$BA$11,IF(ENTRI!B152=$AZ$12,$BA$12,IF(ENTRI!B152=$AZ$13,$BA$13,IF(ENTRI!B152=$AZ$14,$BA$14,IF(ENTRI!B152=$AZ$15,$BA$15,IF(ENTRI!B152=$AZ$16,$BA$16,IF(ENTRI!B152=$AZ$17,$BA$17,IF(ENTRI!B152=$AZ$18,$BA$18," "))))))))))," ")</f>
        <v xml:space="preserve">MTs Qomarul Hidayah</v>
      </c>
      <c r="E153" s="219" t="str">
        <f>IFERROR((ENTRI!C152)," ")</f>
        <v>04</v>
      </c>
      <c r="F153" s="219">
        <f t="shared" si="56"/>
        <v>137</v>
      </c>
      <c r="G153" s="219" t="str">
        <f>IFERROR((ENTRI!E152)," ")</f>
        <v>Guru</v>
      </c>
      <c r="H153" s="219" t="str">
        <f>IFERROR((ENTRI!F152)," ")</f>
        <v>01</v>
      </c>
      <c r="I153" s="219" t="str">
        <f>IFERROR((ENTRI!G152)," ")</f>
        <v xml:space="preserve">ACHMAD FAUZI, S.Pd.</v>
      </c>
      <c r="J153" s="219" t="str">
        <f>IFERROR((ENTRI!H152)," ")</f>
        <v xml:space="preserve">19860225  202107 04 01 12</v>
      </c>
      <c r="K153" s="219" t="str">
        <f>IFERROR((ENTRI!I152)," ")</f>
        <v>Trenggalek</v>
      </c>
      <c r="L153" s="219" t="str">
        <f>IFERROR((ENTRI!J152)," ")</f>
        <v>25</v>
      </c>
      <c r="M153" s="219" t="str">
        <f>IFERROR((ENTRI!K152)," ")</f>
        <v>02</v>
      </c>
      <c r="N153" s="219">
        <f>IFERROR((ENTRI!L152)," ")</f>
        <v>1986</v>
      </c>
      <c r="O153" s="219" t="str">
        <f t="shared" si="57"/>
        <v xml:space="preserve">Trenggalek, 25-02-1986</v>
      </c>
      <c r="P153" s="219" t="str">
        <f>IFERROR((ENTRI!N152)," ")</f>
        <v>12</v>
      </c>
      <c r="Q153" s="219" t="str">
        <f>IFERROR((ENTRI!O152)," ")</f>
        <v>07</v>
      </c>
      <c r="R153" s="219">
        <f>IFERROR((ENTRI!P152)," ")</f>
        <v>2021</v>
      </c>
      <c r="S153" s="219" t="str">
        <f t="shared" si="58"/>
        <v>12-07-2021</v>
      </c>
      <c r="T153" s="219" t="str">
        <f>IFERROR((ENTRI!Q152)," ")</f>
        <v>12</v>
      </c>
      <c r="U153" s="219" t="str">
        <f>IFERROR((ENTRI!R152)," ")</f>
        <v>07</v>
      </c>
      <c r="V153" s="219">
        <f>IFERROR((ENTRI!S152)," ")</f>
        <v>2021</v>
      </c>
      <c r="W153" s="219" t="str">
        <f t="shared" si="59"/>
        <v>12-07-2021</v>
      </c>
      <c r="X153" s="219">
        <f>IFERROR((ENTRI!T152)," ")</f>
        <v>4</v>
      </c>
      <c r="Y153" s="219">
        <f>IFERROR((ENTRI!U152)," ")</f>
        <v>4</v>
      </c>
      <c r="Z153" s="219">
        <f>IFERROR((ENTRI!V152)," ")</f>
        <v>4</v>
      </c>
      <c r="AA153" s="219">
        <f>IFERROR((ENTRI!W152)," ")</f>
        <v>4</v>
      </c>
      <c r="AB153" s="219" t="str">
        <f>IFERROR((ENTRI!X152)," ")</f>
        <v>S1</v>
      </c>
      <c r="AC153" s="219" t="str">
        <f>IFERROR((ENTRI!Y152)," ")</f>
        <v>PJOK</v>
      </c>
      <c r="AD153" s="219">
        <f>IFERROR((ENTRI!Z152)," ")</f>
        <v>0</v>
      </c>
      <c r="AE153" s="219">
        <f>IFERROR((ENTRI!AA152)," ")</f>
        <v>0</v>
      </c>
      <c r="AF153" s="219">
        <f>IFERROR((ENTRI!AB152)," ")</f>
        <v>0</v>
      </c>
      <c r="AG153" s="219">
        <f>IFERROR((ENTRI!AC152)," ")</f>
        <v>0</v>
      </c>
      <c r="AH153" s="219">
        <f>IFERROR((ENTRI!AD152)," ")</f>
        <v>0</v>
      </c>
      <c r="AI153" s="219">
        <f>IFERROR((ENTRI!AE152)," ")</f>
        <v>0</v>
      </c>
      <c r="AJ153" s="219">
        <f>IFERROR((ENTRI!AF152)," ")</f>
        <v>0</v>
      </c>
      <c r="AK153" s="219">
        <f>IFERROR((ENTRI!AG152)," ")</f>
        <v>0</v>
      </c>
      <c r="AL153" s="219">
        <f>IFERROR((ENTRI!AH152)," ")</f>
        <v>0</v>
      </c>
      <c r="AM153" s="219">
        <f>IFERROR((ENTRI!AI152)," ")</f>
        <v>0</v>
      </c>
      <c r="AN153" s="219">
        <f>IFERROR((ENTRI!AJ152)," ")</f>
        <v>0</v>
      </c>
      <c r="AO153" s="219">
        <f>IFERROR((ENTRI!AK152)," ")</f>
        <v>0</v>
      </c>
      <c r="AP153" s="219">
        <f>IFERROR((ENTRI!AL152)," ")</f>
        <v>0</v>
      </c>
      <c r="AQ153" s="219">
        <f>IFERROR((ENTRI!AM152)," ")</f>
        <v>0</v>
      </c>
      <c r="AR153" s="216" t="str">
        <f>E153&amp;"."&amp;H153&amp;"."&amp;AW153&amp;"."&amp;ENTRI!$E$4</f>
        <v>04.01.146.2025</v>
      </c>
      <c r="AS153" t="str">
        <f>"YPP.QH/KP.01."&amp;E153&amp;"/"&amp;AW153&amp;"/"&amp;ENTRI!$E$4</f>
        <v>YPP.QH/KP.01.04/146/2025</v>
      </c>
      <c r="AW153" s="277" t="s">
        <v>1041</v>
      </c>
    </row>
    <row r="154">
      <c r="A154">
        <f t="shared" si="53"/>
        <v>137</v>
      </c>
      <c r="B154" s="276">
        <f t="shared" si="55"/>
        <v>2021</v>
      </c>
      <c r="C154" s="277">
        <v>147</v>
      </c>
      <c r="D154" s="219" t="str">
        <f>IFERROR(IF(ENTRI!B153=$AZ$9,$BA$9,IF(ENTRI!B153=$AZ$10,$BA$10,IF(ENTRI!B153=$AZ$11,$BA$11,IF(ENTRI!B153=$AZ$12,$BA$12,IF(ENTRI!B153=$AZ$13,$BA$13,IF(ENTRI!B153=$AZ$14,$BA$14,IF(ENTRI!B153=$AZ$15,$BA$15,IF(ENTRI!B153=$AZ$16,$BA$16,IF(ENTRI!B153=$AZ$17,$BA$17,IF(ENTRI!B153=$AZ$18,$BA$18," "))))))))))," ")</f>
        <v xml:space="preserve">MTs Qomarul Hidayah</v>
      </c>
      <c r="E154" s="219" t="str">
        <f>IFERROR((ENTRI!C153)," ")</f>
        <v>04</v>
      </c>
      <c r="F154" s="219">
        <f t="shared" si="56"/>
        <v>137</v>
      </c>
      <c r="G154" s="219" t="str">
        <f>IFERROR((ENTRI!E153)," ")</f>
        <v>Guru</v>
      </c>
      <c r="H154" s="219" t="str">
        <f>IFERROR((ENTRI!F153)," ")</f>
        <v>01</v>
      </c>
      <c r="I154" s="219" t="str">
        <f>IFERROR((ENTRI!G153)," ")</f>
        <v xml:space="preserve">WAHYU NUR AISYIAH MAULANA, S.Pd.</v>
      </c>
      <c r="J154" s="219" t="str">
        <f>IFERROR((ENTRI!H153)," ")</f>
        <v xml:space="preserve">19980707  202107 04 01 12</v>
      </c>
      <c r="K154" s="219" t="str">
        <f>IFERROR((ENTRI!I153)," ")</f>
        <v>Trenggalek</v>
      </c>
      <c r="L154" s="219" t="str">
        <f>IFERROR((ENTRI!J153)," ")</f>
        <v>07</v>
      </c>
      <c r="M154" s="219" t="str">
        <f>IFERROR((ENTRI!K153)," ")</f>
        <v>07</v>
      </c>
      <c r="N154" s="219">
        <f>IFERROR((ENTRI!L153)," ")</f>
        <v>1998</v>
      </c>
      <c r="O154" s="219" t="str">
        <f t="shared" si="57"/>
        <v xml:space="preserve">Trenggalek, 07-07-1998</v>
      </c>
      <c r="P154" s="219" t="str">
        <f>IFERROR((ENTRI!N153)," ")</f>
        <v>12</v>
      </c>
      <c r="Q154" s="219" t="str">
        <f>IFERROR((ENTRI!O153)," ")</f>
        <v>07</v>
      </c>
      <c r="R154" s="219">
        <f>IFERROR((ENTRI!P153)," ")</f>
        <v>2021</v>
      </c>
      <c r="S154" s="219" t="str">
        <f t="shared" si="58"/>
        <v>12-07-2021</v>
      </c>
      <c r="T154" s="219" t="str">
        <f>IFERROR((ENTRI!Q153)," ")</f>
        <v>12</v>
      </c>
      <c r="U154" s="219" t="str">
        <f>IFERROR((ENTRI!R153)," ")</f>
        <v>07</v>
      </c>
      <c r="V154" s="219">
        <f>IFERROR((ENTRI!S153)," ")</f>
        <v>2021</v>
      </c>
      <c r="W154" s="219" t="str">
        <f t="shared" si="59"/>
        <v>12-07-2021</v>
      </c>
      <c r="X154" s="219">
        <f>IFERROR((ENTRI!T153)," ")</f>
        <v>4</v>
      </c>
      <c r="Y154" s="219">
        <f>IFERROR((ENTRI!U153)," ")</f>
        <v>4</v>
      </c>
      <c r="Z154" s="219">
        <f>IFERROR((ENTRI!V153)," ")</f>
        <v>4</v>
      </c>
      <c r="AA154" s="219">
        <f>IFERROR((ENTRI!W153)," ")</f>
        <v>4</v>
      </c>
      <c r="AB154" s="219" t="str">
        <f>IFERROR((ENTRI!X153)," ")</f>
        <v>S1</v>
      </c>
      <c r="AC154" s="219" t="str">
        <f>IFERROR((ENTRI!Y153)," ")</f>
        <v>PPKN</v>
      </c>
      <c r="AD154" s="219">
        <f>IFERROR((ENTRI!Z153)," ")</f>
        <v>0</v>
      </c>
      <c r="AE154" s="219">
        <f>IFERROR((ENTRI!AA153)," ")</f>
        <v>0</v>
      </c>
      <c r="AF154" s="219">
        <f>IFERROR((ENTRI!AB153)," ")</f>
        <v>0</v>
      </c>
      <c r="AG154" s="219">
        <f>IFERROR((ENTRI!AC153)," ")</f>
        <v>0</v>
      </c>
      <c r="AH154" s="219">
        <f>IFERROR((ENTRI!AD153)," ")</f>
        <v>0</v>
      </c>
      <c r="AI154" s="219">
        <f>IFERROR((ENTRI!AE153)," ")</f>
        <v>0</v>
      </c>
      <c r="AJ154" s="219">
        <f>IFERROR((ENTRI!AF153)," ")</f>
        <v>0</v>
      </c>
      <c r="AK154" s="219">
        <f>IFERROR((ENTRI!AG153)," ")</f>
        <v>0</v>
      </c>
      <c r="AL154" s="219">
        <f>IFERROR((ENTRI!AH153)," ")</f>
        <v>0</v>
      </c>
      <c r="AM154" s="219">
        <f>IFERROR((ENTRI!AI153)," ")</f>
        <v>0</v>
      </c>
      <c r="AN154" s="219">
        <f>IFERROR((ENTRI!AJ153)," ")</f>
        <v>0</v>
      </c>
      <c r="AO154" s="219">
        <f>IFERROR((ENTRI!AK153)," ")</f>
        <v>0</v>
      </c>
      <c r="AP154" s="219">
        <f>IFERROR((ENTRI!AL153)," ")</f>
        <v>0</v>
      </c>
      <c r="AQ154" s="219">
        <f>IFERROR((ENTRI!AM153)," ")</f>
        <v>0</v>
      </c>
      <c r="AR154" s="216" t="str">
        <f>E154&amp;"."&amp;H154&amp;"."&amp;AW154&amp;"."&amp;ENTRI!$E$4</f>
        <v>04.01.147.2025</v>
      </c>
      <c r="AS154" t="str">
        <f>"YPP.QH/KP.01."&amp;E154&amp;"/"&amp;AW154&amp;"/"&amp;ENTRI!$E$4</f>
        <v>YPP.QH/KP.01.04/147/2025</v>
      </c>
      <c r="AW154" s="277" t="s">
        <v>1042</v>
      </c>
    </row>
    <row r="155">
      <c r="A155">
        <f t="shared" si="53"/>
        <v>163</v>
      </c>
      <c r="B155" s="276">
        <f t="shared" si="55"/>
        <v>2024</v>
      </c>
      <c r="C155" s="277">
        <v>148</v>
      </c>
      <c r="D155" s="219" t="str">
        <f>IFERROR(IF(ENTRI!B154=$AZ$9,$BA$9,IF(ENTRI!B154=$AZ$10,$BA$10,IF(ENTRI!B154=$AZ$11,$BA$11,IF(ENTRI!B154=$AZ$12,$BA$12,IF(ENTRI!B154=$AZ$13,$BA$13,IF(ENTRI!B154=$AZ$14,$BA$14,IF(ENTRI!B154=$AZ$15,$BA$15,IF(ENTRI!B154=$AZ$16,$BA$16,IF(ENTRI!B154=$AZ$17,$BA$17,IF(ENTRI!B154=$AZ$18,$BA$18," "))))))))))," ")</f>
        <v xml:space="preserve">MTs Qomarul Hidayah</v>
      </c>
      <c r="E155" s="219" t="str">
        <f>IFERROR((ENTRI!C154)," ")</f>
        <v>04</v>
      </c>
      <c r="F155" s="219">
        <f t="shared" si="56"/>
        <v>163</v>
      </c>
      <c r="G155" s="219" t="str">
        <f>IFERROR((ENTRI!E154)," ")</f>
        <v>Guru</v>
      </c>
      <c r="H155" s="219" t="str">
        <f>IFERROR((ENTRI!F154)," ")</f>
        <v>01</v>
      </c>
      <c r="I155" s="219" t="str">
        <f>IFERROR((ENTRI!G154)," ")</f>
        <v xml:space="preserve">MUHAMMAD ROUFUL IBAD, S.Pd.</v>
      </c>
      <c r="J155" s="219" t="str">
        <f>IFERROR((ENTRI!H154)," ")</f>
        <v xml:space="preserve">19931205  202407 04 01 15</v>
      </c>
      <c r="K155" s="219" t="str">
        <f>IFERROR((ENTRI!I154)," ")</f>
        <v>Trenggalek</v>
      </c>
      <c r="L155" s="219" t="str">
        <f>IFERROR((ENTRI!J154)," ")</f>
        <v>05</v>
      </c>
      <c r="M155" s="219" t="str">
        <f>IFERROR((ENTRI!K154)," ")</f>
        <v>12</v>
      </c>
      <c r="N155" s="219">
        <f>IFERROR((ENTRI!L154)," ")</f>
        <v>1993</v>
      </c>
      <c r="O155" s="219" t="str">
        <f t="shared" si="57"/>
        <v xml:space="preserve">Trenggalek, 05-12-1993</v>
      </c>
      <c r="P155" s="219" t="str">
        <f>IFERROR((ENTRI!N154)," ")</f>
        <v>15</v>
      </c>
      <c r="Q155" s="219" t="str">
        <f>IFERROR((ENTRI!O154)," ")</f>
        <v>07</v>
      </c>
      <c r="R155" s="219">
        <f>IFERROR((ENTRI!P154)," ")</f>
        <v>2024</v>
      </c>
      <c r="S155" s="219" t="str">
        <f t="shared" si="58"/>
        <v>15-07-2024</v>
      </c>
      <c r="T155" s="219" t="str">
        <f>IFERROR((ENTRI!Q154)," ")</f>
        <v>15</v>
      </c>
      <c r="U155" s="219" t="str">
        <f>IFERROR((ENTRI!R154)," ")</f>
        <v>07</v>
      </c>
      <c r="V155" s="219">
        <f>IFERROR((ENTRI!S154)," ")</f>
        <v>2024</v>
      </c>
      <c r="W155" s="219" t="str">
        <f t="shared" si="59"/>
        <v>15-07-2024</v>
      </c>
      <c r="X155" s="219">
        <f>IFERROR((ENTRI!T154)," ")</f>
        <v>1</v>
      </c>
      <c r="Y155" s="219">
        <f>IFERROR((ENTRI!U154)," ")</f>
        <v>1</v>
      </c>
      <c r="Z155" s="219">
        <f>IFERROR((ENTRI!V154)," ")</f>
        <v>1</v>
      </c>
      <c r="AA155" s="219">
        <f>IFERROR((ENTRI!W154)," ")</f>
        <v>1</v>
      </c>
      <c r="AB155" s="219" t="str">
        <f>IFERROR((ENTRI!X154)," ")</f>
        <v>S1</v>
      </c>
      <c r="AC155" s="219" t="str">
        <f>IFERROR((ENTRI!Y154)," ")</f>
        <v xml:space="preserve">PENDIDIKAN AGAMA ISLAM</v>
      </c>
      <c r="AD155" s="219">
        <f>IFERROR((ENTRI!Z154)," ")</f>
        <v>0</v>
      </c>
      <c r="AE155" s="219">
        <f>IFERROR((ENTRI!AA154)," ")</f>
        <v>0</v>
      </c>
      <c r="AF155" s="219">
        <f>IFERROR((ENTRI!AB154)," ")</f>
        <v>0</v>
      </c>
      <c r="AG155" s="219">
        <f>IFERROR((ENTRI!AC154)," ")</f>
        <v>0</v>
      </c>
      <c r="AH155" s="219">
        <f>IFERROR((ENTRI!AD154)," ")</f>
        <v>0</v>
      </c>
      <c r="AI155" s="219">
        <f>IFERROR((ENTRI!AE154)," ")</f>
        <v>0</v>
      </c>
      <c r="AJ155" s="219">
        <f>IFERROR((ENTRI!AF154)," ")</f>
        <v>0</v>
      </c>
      <c r="AK155" s="219">
        <f>IFERROR((ENTRI!AG154)," ")</f>
        <v>0</v>
      </c>
      <c r="AL155" s="219">
        <f>IFERROR((ENTRI!AH154)," ")</f>
        <v>0</v>
      </c>
      <c r="AM155" s="219">
        <f>IFERROR((ENTRI!AI154)," ")</f>
        <v>0</v>
      </c>
      <c r="AN155" s="219">
        <f>IFERROR((ENTRI!AJ154)," ")</f>
        <v>0</v>
      </c>
      <c r="AO155" s="219">
        <f>IFERROR((ENTRI!AK154)," ")</f>
        <v>0</v>
      </c>
      <c r="AP155" s="219">
        <f>IFERROR((ENTRI!AL154)," ")</f>
        <v>0</v>
      </c>
      <c r="AQ155" s="219">
        <f>IFERROR((ENTRI!AM154)," ")</f>
        <v>0</v>
      </c>
      <c r="AR155" s="216" t="str">
        <f>E155&amp;"."&amp;H155&amp;"."&amp;AW155&amp;"."&amp;ENTRI!$E$4</f>
        <v>04.01.148.2025</v>
      </c>
      <c r="AS155" t="str">
        <f>"YPP.QH/KP.01."&amp;E155&amp;"/"&amp;AW155&amp;"/"&amp;ENTRI!$E$4</f>
        <v>YPP.QH/KP.01.04/148/2025</v>
      </c>
      <c r="AW155" s="277" t="s">
        <v>1043</v>
      </c>
    </row>
    <row r="156">
      <c r="A156">
        <f t="shared" si="53"/>
        <v>146</v>
      </c>
      <c r="B156" s="276">
        <f t="shared" si="55"/>
        <v>2022</v>
      </c>
      <c r="C156" s="277">
        <v>149</v>
      </c>
      <c r="D156" s="219" t="str">
        <f>IFERROR(IF(ENTRI!B155=$AZ$9,$BA$9,IF(ENTRI!B155=$AZ$10,$BA$10,IF(ENTRI!B155=$AZ$11,$BA$11,IF(ENTRI!B155=$AZ$12,$BA$12,IF(ENTRI!B155=$AZ$13,$BA$13,IF(ENTRI!B155=$AZ$14,$BA$14,IF(ENTRI!B155=$AZ$15,$BA$15,IF(ENTRI!B155=$AZ$16,$BA$16,IF(ENTRI!B155=$AZ$17,$BA$17,IF(ENTRI!B155=$AZ$18,$BA$18," "))))))))))," ")</f>
        <v xml:space="preserve">SMK Qomarul Hidayah 1 Tugu</v>
      </c>
      <c r="E156" s="219" t="str">
        <f>IFERROR((ENTRI!C155)," ")</f>
        <v>06</v>
      </c>
      <c r="F156" s="219">
        <f t="shared" si="56"/>
        <v>146</v>
      </c>
      <c r="G156" s="219" t="str">
        <f>IFERROR((ENTRI!E155)," ")</f>
        <v>Guru</v>
      </c>
      <c r="H156" s="219" t="str">
        <f>IFERROR((ENTRI!F155)," ")</f>
        <v>01</v>
      </c>
      <c r="I156" s="219" t="str">
        <f>IFERROR((ENTRI!G155)," ")</f>
        <v xml:space="preserve">HAPPY RIKADIYANTO, S.T.</v>
      </c>
      <c r="J156" s="219" t="str">
        <f>IFERROR((ENTRI!H155)," ")</f>
        <v xml:space="preserve">19911002  202202 06 01 20</v>
      </c>
      <c r="K156" s="219" t="str">
        <f>IFERROR((ENTRI!I155)," ")</f>
        <v>Trenggalek</v>
      </c>
      <c r="L156" s="219" t="str">
        <f>IFERROR((ENTRI!J155)," ")</f>
        <v>02</v>
      </c>
      <c r="M156" s="219" t="str">
        <f>IFERROR((ENTRI!K155)," ")</f>
        <v>10</v>
      </c>
      <c r="N156" s="219">
        <f>IFERROR((ENTRI!L155)," ")</f>
        <v>1991</v>
      </c>
      <c r="O156" s="219" t="str">
        <f t="shared" si="57"/>
        <v xml:space="preserve">Trenggalek, 02-10-1991</v>
      </c>
      <c r="P156" s="219" t="str">
        <f>IFERROR((ENTRI!N155)," ")</f>
        <v>20</v>
      </c>
      <c r="Q156" s="219" t="str">
        <f>IFERROR((ENTRI!O155)," ")</f>
        <v>02</v>
      </c>
      <c r="R156" s="219">
        <f>IFERROR((ENTRI!P155)," ")</f>
        <v>2022</v>
      </c>
      <c r="S156" s="219" t="str">
        <f t="shared" si="58"/>
        <v>20-02-2022</v>
      </c>
      <c r="T156" s="219" t="str">
        <f>IFERROR((ENTRI!Q155)," ")</f>
        <v>20</v>
      </c>
      <c r="U156" s="219" t="str">
        <f>IFERROR((ENTRI!R155)," ")</f>
        <v>03</v>
      </c>
      <c r="V156" s="219">
        <f>IFERROR((ENTRI!S155)," ")</f>
        <v>2022</v>
      </c>
      <c r="W156" s="219" t="str">
        <f t="shared" si="59"/>
        <v>20-03-2022</v>
      </c>
      <c r="X156" s="219">
        <f>IFERROR((ENTRI!T155)," ")</f>
        <v>3</v>
      </c>
      <c r="Y156" s="219">
        <f>IFERROR((ENTRI!U155)," ")</f>
        <v>3</v>
      </c>
      <c r="Z156" s="219">
        <f>IFERROR((ENTRI!V155)," ")</f>
        <v>3</v>
      </c>
      <c r="AA156" s="219">
        <f>IFERROR((ENTRI!W155)," ")</f>
        <v>3</v>
      </c>
      <c r="AB156" s="219" t="str">
        <f>IFERROR((ENTRI!X155)," ")</f>
        <v>S1</v>
      </c>
      <c r="AC156" s="219" t="str">
        <f>IFERROR((ENTRI!Y155)," ")</f>
        <v xml:space="preserve">TEKNIK INDUSTRI</v>
      </c>
      <c r="AD156" s="219">
        <f>IFERROR((ENTRI!Z155)," ")</f>
        <v>0</v>
      </c>
      <c r="AE156" s="219">
        <f>IFERROR((ENTRI!AA155)," ")</f>
        <v>0</v>
      </c>
      <c r="AF156" s="219">
        <f>IFERROR((ENTRI!AB155)," ")</f>
        <v>0</v>
      </c>
      <c r="AG156" s="219">
        <f>IFERROR((ENTRI!AC155)," ")</f>
        <v>0</v>
      </c>
      <c r="AH156" s="219">
        <f>IFERROR((ENTRI!AD155)," ")</f>
        <v>0</v>
      </c>
      <c r="AI156" s="219">
        <f>IFERROR((ENTRI!AE155)," ")</f>
        <v>0</v>
      </c>
      <c r="AJ156" s="219">
        <f>IFERROR((ENTRI!AF155)," ")</f>
        <v>0</v>
      </c>
      <c r="AK156" s="219">
        <f>IFERROR((ENTRI!AG155)," ")</f>
        <v>0</v>
      </c>
      <c r="AL156" s="219">
        <f>IFERROR((ENTRI!AH155)," ")</f>
        <v>0</v>
      </c>
      <c r="AM156" s="219">
        <f>IFERROR((ENTRI!AI155)," ")</f>
        <v>0</v>
      </c>
      <c r="AN156" s="219">
        <f>IFERROR((ENTRI!AJ155)," ")</f>
        <v>0</v>
      </c>
      <c r="AO156" s="219">
        <f>IFERROR((ENTRI!AK155)," ")</f>
        <v>0</v>
      </c>
      <c r="AP156" s="219">
        <f>IFERROR((ENTRI!AL155)," ")</f>
        <v>0</v>
      </c>
      <c r="AQ156" s="219">
        <f>IFERROR((ENTRI!AM155)," ")</f>
        <v>0</v>
      </c>
      <c r="AR156" s="216" t="str">
        <f>E156&amp;"."&amp;H156&amp;"."&amp;AW156&amp;"."&amp;ENTRI!$E$4</f>
        <v>06.01.149.2025</v>
      </c>
      <c r="AS156" t="str">
        <f>"YPP.QH/KP.01."&amp;E156&amp;"/"&amp;AW156&amp;"/"&amp;ENTRI!$E$4</f>
        <v>YPP.QH/KP.01.06/149/2025</v>
      </c>
      <c r="AW156" s="277" t="s">
        <v>1044</v>
      </c>
    </row>
    <row r="157">
      <c r="A157">
        <f t="shared" si="53"/>
        <v>137</v>
      </c>
      <c r="B157" s="276">
        <f t="shared" si="55"/>
        <v>2021</v>
      </c>
      <c r="C157" s="277">
        <v>150</v>
      </c>
      <c r="D157" s="219" t="str">
        <f>IFERROR(IF(ENTRI!B156=$AZ$9,$BA$9,IF(ENTRI!B156=$AZ$10,$BA$10,IF(ENTRI!B156=$AZ$11,$BA$11,IF(ENTRI!B156=$AZ$12,$BA$12,IF(ENTRI!B156=$AZ$13,$BA$13,IF(ENTRI!B156=$AZ$14,$BA$14,IF(ENTRI!B156=$AZ$15,$BA$15,IF(ENTRI!B156=$AZ$16,$BA$16,IF(ENTRI!B156=$AZ$17,$BA$17,IF(ENTRI!B156=$AZ$18,$BA$18," "))))))))))," ")</f>
        <v xml:space="preserve">MTs Qomarul Hidayah</v>
      </c>
      <c r="E157" s="219" t="str">
        <f>IFERROR((ENTRI!C156)," ")</f>
        <v>04</v>
      </c>
      <c r="F157" s="219">
        <f t="shared" si="56"/>
        <v>137</v>
      </c>
      <c r="G157" s="219" t="str">
        <f>IFERROR((ENTRI!E156)," ")</f>
        <v>Guru</v>
      </c>
      <c r="H157" s="219" t="str">
        <f>IFERROR((ENTRI!F156)," ")</f>
        <v>01</v>
      </c>
      <c r="I157" s="219" t="str">
        <f>IFERROR((ENTRI!G156)," ")</f>
        <v xml:space="preserve">FIRDANIARDI YOGA LIANTO, M.Pd.</v>
      </c>
      <c r="J157" s="219" t="str">
        <f>IFERROR((ENTRI!H156)," ")</f>
        <v xml:space="preserve">19980625  202101 04 01 02</v>
      </c>
      <c r="K157" s="219" t="str">
        <f>IFERROR((ENTRI!I156)," ")</f>
        <v>Jakarta</v>
      </c>
      <c r="L157" s="219" t="str">
        <f>IFERROR((ENTRI!J156)," ")</f>
        <v>25</v>
      </c>
      <c r="M157" s="219" t="str">
        <f>IFERROR((ENTRI!K156)," ")</f>
        <v>06</v>
      </c>
      <c r="N157" s="219">
        <f>IFERROR((ENTRI!L156)," ")</f>
        <v>1998</v>
      </c>
      <c r="O157" s="219" t="str">
        <f t="shared" si="57"/>
        <v xml:space="preserve">Jakarta, 25-06-1998</v>
      </c>
      <c r="P157" s="219" t="str">
        <f>IFERROR((ENTRI!N156)," ")</f>
        <v>02</v>
      </c>
      <c r="Q157" s="219" t="str">
        <f>IFERROR((ENTRI!O156)," ")</f>
        <v>01</v>
      </c>
      <c r="R157" s="219">
        <f>IFERROR((ENTRI!P156)," ")</f>
        <v>2021</v>
      </c>
      <c r="S157" s="219" t="str">
        <f t="shared" si="58"/>
        <v>02-01-2021</v>
      </c>
      <c r="T157" s="219" t="str">
        <f>IFERROR((ENTRI!Q156)," ")</f>
        <v>02</v>
      </c>
      <c r="U157" s="219" t="str">
        <f>IFERROR((ENTRI!R156)," ")</f>
        <v>01</v>
      </c>
      <c r="V157" s="219">
        <f>IFERROR((ENTRI!S156)," ")</f>
        <v>2021</v>
      </c>
      <c r="W157" s="219" t="str">
        <f t="shared" si="59"/>
        <v>02-01-2021</v>
      </c>
      <c r="X157" s="219">
        <f>IFERROR((ENTRI!T156)," ")</f>
        <v>4</v>
      </c>
      <c r="Y157" s="219">
        <f>IFERROR((ENTRI!U156)," ")</f>
        <v>4</v>
      </c>
      <c r="Z157" s="219">
        <f>IFERROR((ENTRI!V156)," ")</f>
        <v>4</v>
      </c>
      <c r="AA157" s="219">
        <f>IFERROR((ENTRI!W156)," ")</f>
        <v>4</v>
      </c>
      <c r="AB157" s="219" t="str">
        <f>IFERROR((ENTRI!X156)," ")</f>
        <v>S2</v>
      </c>
      <c r="AC157" s="219" t="str">
        <f>IFERROR((ENTRI!Y156)," ")</f>
        <v xml:space="preserve">TADRIS BAHASA INGGRIS</v>
      </c>
      <c r="AD157" s="219">
        <f>IFERROR((ENTRI!Z156)," ")</f>
        <v>0</v>
      </c>
      <c r="AE157" s="219">
        <f>IFERROR((ENTRI!AA156)," ")</f>
        <v>0</v>
      </c>
      <c r="AF157" s="219">
        <f>IFERROR((ENTRI!AB156)," ")</f>
        <v>0</v>
      </c>
      <c r="AG157" s="219">
        <f>IFERROR((ENTRI!AC156)," ")</f>
        <v>0</v>
      </c>
      <c r="AH157" s="219">
        <f>IFERROR((ENTRI!AD156)," ")</f>
        <v>0</v>
      </c>
      <c r="AI157" s="219">
        <f>IFERROR((ENTRI!AE156)," ")</f>
        <v>0</v>
      </c>
      <c r="AJ157" s="219">
        <f>IFERROR((ENTRI!AF156)," ")</f>
        <v>0</v>
      </c>
      <c r="AK157" s="219">
        <f>IFERROR((ENTRI!AG156)," ")</f>
        <v>0</v>
      </c>
      <c r="AL157" s="219">
        <f>IFERROR((ENTRI!AH156)," ")</f>
        <v>0</v>
      </c>
      <c r="AM157" s="219">
        <f>IFERROR((ENTRI!AI156)," ")</f>
        <v>0</v>
      </c>
      <c r="AN157" s="219">
        <f>IFERROR((ENTRI!AJ156)," ")</f>
        <v>0</v>
      </c>
      <c r="AO157" s="219">
        <f>IFERROR((ENTRI!AK156)," ")</f>
        <v>0</v>
      </c>
      <c r="AP157" s="219">
        <f>IFERROR((ENTRI!AL156)," ")</f>
        <v>0</v>
      </c>
      <c r="AQ157" s="219">
        <f>IFERROR((ENTRI!AM156)," ")</f>
        <v>0</v>
      </c>
      <c r="AR157" s="216" t="str">
        <f>E157&amp;"."&amp;H157&amp;"."&amp;AW157&amp;"."&amp;ENTRI!$E$4</f>
        <v>04.01.150.2025</v>
      </c>
      <c r="AS157" t="str">
        <f>"YPP.QH/KP.01."&amp;E157&amp;"/"&amp;AW157&amp;"/"&amp;ENTRI!$E$4</f>
        <v>YPP.QH/KP.01.04/150/2025</v>
      </c>
      <c r="AW157" s="277" t="s">
        <v>1045</v>
      </c>
    </row>
    <row r="158">
      <c r="A158">
        <f t="shared" si="53"/>
        <v>155</v>
      </c>
      <c r="B158" s="276">
        <f t="shared" si="55"/>
        <v>2023</v>
      </c>
      <c r="C158" s="277">
        <v>151</v>
      </c>
      <c r="D158" s="219" t="str">
        <f>IFERROR(IF(ENTRI!B157=$AZ$9,$BA$9,IF(ENTRI!B157=$AZ$10,$BA$10,IF(ENTRI!B157=$AZ$11,$BA$11,IF(ENTRI!B157=$AZ$12,$BA$12,IF(ENTRI!B157=$AZ$13,$BA$13,IF(ENTRI!B157=$AZ$14,$BA$14,IF(ENTRI!B157=$AZ$15,$BA$15,IF(ENTRI!B157=$AZ$16,$BA$16,IF(ENTRI!B157=$AZ$17,$BA$17,IF(ENTRI!B157=$AZ$18,$BA$18," "))))))))))," ")</f>
        <v xml:space="preserve">MI Qomarul Hidayah</v>
      </c>
      <c r="E158" s="219" t="str">
        <f>IFERROR((ENTRI!C157)," ")</f>
        <v>03</v>
      </c>
      <c r="F158" s="219">
        <f t="shared" si="56"/>
        <v>155</v>
      </c>
      <c r="G158" s="219" t="str">
        <f>IFERROR((ENTRI!E157)," ")</f>
        <v xml:space="preserve">Tenaga Kependidikan</v>
      </c>
      <c r="H158" s="219" t="str">
        <f>IFERROR((ENTRI!F157)," ")</f>
        <v>02</v>
      </c>
      <c r="I158" s="219" t="str">
        <f>IFERROR((ENTRI!G157)," ")</f>
        <v xml:space="preserve">AFIDATUN NUR ANNISA'</v>
      </c>
      <c r="J158" s="219" t="str">
        <f>IFERROR((ENTRI!H157)," ")</f>
        <v xml:space="preserve">20030505  202307 03 02 17</v>
      </c>
      <c r="K158" s="219" t="str">
        <f>IFERROR((ENTRI!I157)," ")</f>
        <v>Trenggalek</v>
      </c>
      <c r="L158" s="219" t="str">
        <f>IFERROR((ENTRI!J157)," ")</f>
        <v>05</v>
      </c>
      <c r="M158" s="219" t="str">
        <f>IFERROR((ENTRI!K157)," ")</f>
        <v>05</v>
      </c>
      <c r="N158" s="219">
        <f>IFERROR((ENTRI!L157)," ")</f>
        <v>2003</v>
      </c>
      <c r="O158" s="219" t="str">
        <f t="shared" si="57"/>
        <v xml:space="preserve">Trenggalek, 05-05-2003</v>
      </c>
      <c r="P158" s="219" t="str">
        <f>IFERROR((ENTRI!N157)," ")</f>
        <v>17</v>
      </c>
      <c r="Q158" s="219" t="str">
        <f>IFERROR((ENTRI!O157)," ")</f>
        <v>07</v>
      </c>
      <c r="R158" s="219">
        <f>IFERROR((ENTRI!P157)," ")</f>
        <v>2023</v>
      </c>
      <c r="S158" s="219" t="str">
        <f t="shared" si="58"/>
        <v>17-07-2023</v>
      </c>
      <c r="T158" s="219" t="str">
        <f>IFERROR((ENTRI!Q157)," ")</f>
        <v>17</v>
      </c>
      <c r="U158" s="219" t="str">
        <f>IFERROR((ENTRI!R157)," ")</f>
        <v>07</v>
      </c>
      <c r="V158" s="219">
        <f>IFERROR((ENTRI!S157)," ")</f>
        <v>2023</v>
      </c>
      <c r="W158" s="219" t="str">
        <f t="shared" si="59"/>
        <v>17-07-2023</v>
      </c>
      <c r="X158" s="219">
        <f>IFERROR((ENTRI!T157)," ")</f>
        <v>2</v>
      </c>
      <c r="Y158" s="219">
        <f>IFERROR((ENTRI!U157)," ")</f>
        <v>2</v>
      </c>
      <c r="Z158" s="219">
        <f>IFERROR((ENTRI!V157)," ")</f>
        <v>2</v>
      </c>
      <c r="AA158" s="219">
        <f>IFERROR((ENTRI!W157)," ")</f>
        <v>2</v>
      </c>
      <c r="AB158" s="219" t="str">
        <f>IFERROR((ENTRI!X157)," ")</f>
        <v>SLTA</v>
      </c>
      <c r="AC158" s="219" t="str">
        <f>IFERROR((ENTRI!Y157)," ")</f>
        <v>IPS</v>
      </c>
      <c r="AD158" s="219">
        <f>IFERROR((ENTRI!Z157)," ")</f>
        <v>0</v>
      </c>
      <c r="AE158" s="219">
        <f>IFERROR((ENTRI!AA157)," ")</f>
        <v>0</v>
      </c>
      <c r="AF158" s="219">
        <f>IFERROR((ENTRI!AB157)," ")</f>
        <v>0</v>
      </c>
      <c r="AG158" s="219">
        <f>IFERROR((ENTRI!AC157)," ")</f>
        <v>0</v>
      </c>
      <c r="AH158" s="219">
        <f>IFERROR((ENTRI!AD157)," ")</f>
        <v>0</v>
      </c>
      <c r="AI158" s="219">
        <f>IFERROR((ENTRI!AE157)," ")</f>
        <v>0</v>
      </c>
      <c r="AJ158" s="219">
        <f>IFERROR((ENTRI!AF157)," ")</f>
        <v>0</v>
      </c>
      <c r="AK158" s="219">
        <f>IFERROR((ENTRI!AG157)," ")</f>
        <v>0</v>
      </c>
      <c r="AL158" s="219">
        <f>IFERROR((ENTRI!AH157)," ")</f>
        <v>0</v>
      </c>
      <c r="AM158" s="219">
        <f>IFERROR((ENTRI!AI157)," ")</f>
        <v>0</v>
      </c>
      <c r="AN158" s="219">
        <f>IFERROR((ENTRI!AJ157)," ")</f>
        <v>0</v>
      </c>
      <c r="AO158" s="219">
        <f>IFERROR((ENTRI!AK157)," ")</f>
        <v>0</v>
      </c>
      <c r="AP158" s="219">
        <f>IFERROR((ENTRI!AL157)," ")</f>
        <v>0</v>
      </c>
      <c r="AQ158" s="219">
        <f>IFERROR((ENTRI!AM157)," ")</f>
        <v>0</v>
      </c>
      <c r="AR158" s="216" t="str">
        <f>E158&amp;"."&amp;H158&amp;"."&amp;AW158&amp;"."&amp;ENTRI!$E$4</f>
        <v>03.02.151.2025</v>
      </c>
      <c r="AS158" t="str">
        <f>"YPP.QH/KP.01."&amp;E158&amp;"/"&amp;AW158&amp;"/"&amp;ENTRI!$E$4</f>
        <v>YPP.QH/KP.01.03/151/2025</v>
      </c>
      <c r="AW158" s="277" t="s">
        <v>1046</v>
      </c>
    </row>
    <row r="159">
      <c r="A159">
        <f t="shared" si="53"/>
        <v>133</v>
      </c>
      <c r="B159" s="276">
        <f t="shared" si="55"/>
        <v>2020</v>
      </c>
      <c r="C159" s="277">
        <v>152</v>
      </c>
      <c r="D159" s="219" t="str">
        <f>IFERROR(IF(ENTRI!B158=$AZ$9,$BA$9,IF(ENTRI!B158=$AZ$10,$BA$10,IF(ENTRI!B158=$AZ$11,$BA$11,IF(ENTRI!B158=$AZ$12,$BA$12,IF(ENTRI!B158=$AZ$13,$BA$13,IF(ENTRI!B158=$AZ$14,$BA$14,IF(ENTRI!B158=$AZ$15,$BA$15,IF(ENTRI!B158=$AZ$16,$BA$16,IF(ENTRI!B158=$AZ$17,$BA$17,IF(ENTRI!B158=$AZ$18,$BA$18," "))))))))))," ")</f>
        <v xml:space="preserve">SMK Qomarul Hidayah 1 Tugu</v>
      </c>
      <c r="E159" s="219" t="str">
        <f>IFERROR((ENTRI!C158)," ")</f>
        <v>06</v>
      </c>
      <c r="F159" s="219">
        <f t="shared" si="56"/>
        <v>133</v>
      </c>
      <c r="G159" s="219" t="str">
        <f>IFERROR((ENTRI!E158)," ")</f>
        <v xml:space="preserve">Tenaga Kependidikan</v>
      </c>
      <c r="H159" s="219" t="str">
        <f>IFERROR((ENTRI!F158)," ")</f>
        <v>02</v>
      </c>
      <c r="I159" s="219" t="str">
        <f>IFERROR((ENTRI!G158)," ")</f>
        <v xml:space="preserve">INTAN MAYANGSARI, S.Pd. </v>
      </c>
      <c r="J159" s="219" t="str">
        <f>IFERROR((ENTRI!H158)," ")</f>
        <v xml:space="preserve">19980314  202007 06 02 13</v>
      </c>
      <c r="K159" s="219" t="str">
        <f>IFERROR((ENTRI!I158)," ")</f>
        <v>Trenggalek</v>
      </c>
      <c r="L159" s="219" t="str">
        <f>IFERROR((ENTRI!J158)," ")</f>
        <v>14</v>
      </c>
      <c r="M159" s="219" t="str">
        <f>IFERROR((ENTRI!K158)," ")</f>
        <v>03</v>
      </c>
      <c r="N159" s="219">
        <f>IFERROR((ENTRI!L158)," ")</f>
        <v>1998</v>
      </c>
      <c r="O159" s="219" t="str">
        <f t="shared" si="57"/>
        <v xml:space="preserve">Trenggalek, 14-03-1998</v>
      </c>
      <c r="P159" s="219" t="str">
        <f>IFERROR((ENTRI!N158)," ")</f>
        <v>13</v>
      </c>
      <c r="Q159" s="219" t="str">
        <f>IFERROR((ENTRI!O158)," ")</f>
        <v>07</v>
      </c>
      <c r="R159" s="219">
        <f>IFERROR((ENTRI!P158)," ")</f>
        <v>2020</v>
      </c>
      <c r="S159" s="219" t="str">
        <f t="shared" si="58"/>
        <v>13-07-2020</v>
      </c>
      <c r="T159" s="219" t="str">
        <f>IFERROR((ENTRI!Q158)," ")</f>
        <v>13</v>
      </c>
      <c r="U159" s="219" t="str">
        <f>IFERROR((ENTRI!R158)," ")</f>
        <v>07</v>
      </c>
      <c r="V159" s="219">
        <f>IFERROR((ENTRI!S158)," ")</f>
        <v>2020</v>
      </c>
      <c r="W159" s="219" t="str">
        <f t="shared" si="59"/>
        <v>13-07-2020</v>
      </c>
      <c r="X159" s="219">
        <f>IFERROR((ENTRI!T158)," ")</f>
        <v>5</v>
      </c>
      <c r="Y159" s="219">
        <f>IFERROR((ENTRI!U158)," ")</f>
        <v>5</v>
      </c>
      <c r="Z159" s="219">
        <f>IFERROR((ENTRI!V158)," ")</f>
        <v>5</v>
      </c>
      <c r="AA159" s="219">
        <f>IFERROR((ENTRI!W158)," ")</f>
        <v>5</v>
      </c>
      <c r="AB159" s="219" t="str">
        <f>IFERROR((ENTRI!X158)," ")</f>
        <v>S1</v>
      </c>
      <c r="AC159" s="219" t="str">
        <f>IFERROR((ENTRI!Y158)," ")</f>
        <v xml:space="preserve">Manajemen Pendidikan Islam</v>
      </c>
      <c r="AD159" s="219">
        <f>IFERROR((ENTRI!Z158)," ")</f>
        <v>0</v>
      </c>
      <c r="AE159" s="219">
        <f>IFERROR((ENTRI!AA158)," ")</f>
        <v>0</v>
      </c>
      <c r="AF159" s="219">
        <f>IFERROR((ENTRI!AB158)," ")</f>
        <v>0</v>
      </c>
      <c r="AG159" s="219">
        <f>IFERROR((ENTRI!AC158)," ")</f>
        <v>0</v>
      </c>
      <c r="AH159" s="219">
        <f>IFERROR((ENTRI!AD158)," ")</f>
        <v>0</v>
      </c>
      <c r="AI159" s="219">
        <f>IFERROR((ENTRI!AE158)," ")</f>
        <v>0</v>
      </c>
      <c r="AJ159" s="219">
        <f>IFERROR((ENTRI!AF158)," ")</f>
        <v>0</v>
      </c>
      <c r="AK159" s="219">
        <f>IFERROR((ENTRI!AG158)," ")</f>
        <v>0</v>
      </c>
      <c r="AL159" s="219">
        <f>IFERROR((ENTRI!AH158)," ")</f>
        <v>0</v>
      </c>
      <c r="AM159" s="219">
        <f>IFERROR((ENTRI!AI158)," ")</f>
        <v>0</v>
      </c>
      <c r="AN159" s="219">
        <f>IFERROR((ENTRI!AJ158)," ")</f>
        <v>0</v>
      </c>
      <c r="AO159" s="219">
        <f>IFERROR((ENTRI!AK158)," ")</f>
        <v>0</v>
      </c>
      <c r="AP159" s="219">
        <f>IFERROR((ENTRI!AL158)," ")</f>
        <v>0</v>
      </c>
      <c r="AQ159" s="219">
        <f>IFERROR((ENTRI!AM158)," ")</f>
        <v>0</v>
      </c>
      <c r="AR159" s="216" t="str">
        <f>E159&amp;"."&amp;H159&amp;"."&amp;AW159&amp;"."&amp;ENTRI!$E$4</f>
        <v>06.02.152.2025</v>
      </c>
      <c r="AS159" t="str">
        <f>"YPP.QH/KP.01."&amp;E159&amp;"/"&amp;AW159&amp;"/"&amp;ENTRI!$E$4</f>
        <v>YPP.QH/KP.01.06/152/2025</v>
      </c>
      <c r="AW159" s="277" t="s">
        <v>1047</v>
      </c>
    </row>
    <row r="160">
      <c r="A160">
        <f t="shared" si="53"/>
        <v>137</v>
      </c>
      <c r="B160" s="276">
        <f t="shared" si="55"/>
        <v>2021</v>
      </c>
      <c r="C160" s="277">
        <v>153</v>
      </c>
      <c r="D160" s="219" t="str">
        <f>IFERROR(IF(ENTRI!B159=$AZ$9,$BA$9,IF(ENTRI!B159=$AZ$10,$BA$10,IF(ENTRI!B159=$AZ$11,$BA$11,IF(ENTRI!B159=$AZ$12,$BA$12,IF(ENTRI!B159=$AZ$13,$BA$13,IF(ENTRI!B159=$AZ$14,$BA$14,IF(ENTRI!B159=$AZ$15,$BA$15,IF(ENTRI!B159=$AZ$16,$BA$16,IF(ENTRI!B159=$AZ$17,$BA$17,IF(ENTRI!B159=$AZ$18,$BA$18," "))))))))))," ")</f>
        <v xml:space="preserve">SMK Qomarul Hidayah 1 Tugu</v>
      </c>
      <c r="E160" s="219" t="str">
        <f>IFERROR((ENTRI!C159)," ")</f>
        <v>06</v>
      </c>
      <c r="F160" s="219">
        <f t="shared" si="56"/>
        <v>137</v>
      </c>
      <c r="G160" s="219" t="str">
        <f>IFERROR((ENTRI!E159)," ")</f>
        <v>Guru</v>
      </c>
      <c r="H160" s="219" t="str">
        <f>IFERROR((ENTRI!F159)," ")</f>
        <v>01</v>
      </c>
      <c r="I160" s="219" t="str">
        <f>IFERROR((ENTRI!G159)," ")</f>
        <v xml:space="preserve">FEBRY DWI HENDRIARTO, S.Pd.</v>
      </c>
      <c r="J160" s="219" t="str">
        <f>IFERROR((ENTRI!H159)," ")</f>
        <v xml:space="preserve">19980218  202107 06 01 12</v>
      </c>
      <c r="K160" s="219" t="str">
        <f>IFERROR((ENTRI!I159)," ")</f>
        <v>Trenggalek</v>
      </c>
      <c r="L160" s="219" t="str">
        <f>IFERROR((ENTRI!J159)," ")</f>
        <v>18</v>
      </c>
      <c r="M160" s="219" t="str">
        <f>IFERROR((ENTRI!K159)," ")</f>
        <v>02</v>
      </c>
      <c r="N160" s="219">
        <f>IFERROR((ENTRI!L159)," ")</f>
        <v>1998</v>
      </c>
      <c r="O160" s="219" t="str">
        <f t="shared" si="57"/>
        <v xml:space="preserve">Trenggalek, 18-02-1998</v>
      </c>
      <c r="P160" s="219" t="str">
        <f>IFERROR((ENTRI!N159)," ")</f>
        <v>12</v>
      </c>
      <c r="Q160" s="219" t="str">
        <f>IFERROR((ENTRI!O159)," ")</f>
        <v>07</v>
      </c>
      <c r="R160" s="219">
        <f>IFERROR((ENTRI!P159)," ")</f>
        <v>2021</v>
      </c>
      <c r="S160" s="219" t="str">
        <f t="shared" si="58"/>
        <v>12-07-2021</v>
      </c>
      <c r="T160" s="219" t="str">
        <f>IFERROR((ENTRI!Q159)," ")</f>
        <v>12</v>
      </c>
      <c r="U160" s="219" t="str">
        <f>IFERROR((ENTRI!R159)," ")</f>
        <v>07</v>
      </c>
      <c r="V160" s="219">
        <f>IFERROR((ENTRI!S159)," ")</f>
        <v>2021</v>
      </c>
      <c r="W160" s="219" t="str">
        <f t="shared" si="59"/>
        <v>12-07-2021</v>
      </c>
      <c r="X160" s="219">
        <f>IFERROR((ENTRI!T159)," ")</f>
        <v>4</v>
      </c>
      <c r="Y160" s="219">
        <f>IFERROR((ENTRI!U159)," ")</f>
        <v>4</v>
      </c>
      <c r="Z160" s="219">
        <f>IFERROR((ENTRI!V159)," ")</f>
        <v>4</v>
      </c>
      <c r="AA160" s="219">
        <f>IFERROR((ENTRI!W159)," ")</f>
        <v>4</v>
      </c>
      <c r="AB160" s="219" t="str">
        <f>IFERROR((ENTRI!X159)," ")</f>
        <v>S1</v>
      </c>
      <c r="AC160" s="219" t="str">
        <f>IFERROR((ENTRI!Y159)," ")</f>
        <v xml:space="preserve">Pendidikan Teknik Otomotif</v>
      </c>
      <c r="AD160" s="219">
        <f>IFERROR((ENTRI!Z159)," ")</f>
        <v>0</v>
      </c>
      <c r="AE160" s="219">
        <f>IFERROR((ENTRI!AA159)," ")</f>
        <v>0</v>
      </c>
      <c r="AF160" s="219">
        <f>IFERROR((ENTRI!AB159)," ")</f>
        <v>0</v>
      </c>
      <c r="AG160" s="219">
        <f>IFERROR((ENTRI!AC159)," ")</f>
        <v>0</v>
      </c>
      <c r="AH160" s="219">
        <f>IFERROR((ENTRI!AD159)," ")</f>
        <v>0</v>
      </c>
      <c r="AI160" s="219">
        <f>IFERROR((ENTRI!AE159)," ")</f>
        <v>0</v>
      </c>
      <c r="AJ160" s="219">
        <f>IFERROR((ENTRI!AF159)," ")</f>
        <v>0</v>
      </c>
      <c r="AK160" s="219">
        <f>IFERROR((ENTRI!AG159)," ")</f>
        <v>0</v>
      </c>
      <c r="AL160" s="219">
        <f>IFERROR((ENTRI!AH159)," ")</f>
        <v>0</v>
      </c>
      <c r="AM160" s="219">
        <f>IFERROR((ENTRI!AI159)," ")</f>
        <v>0</v>
      </c>
      <c r="AN160" s="219">
        <f>IFERROR((ENTRI!AJ159)," ")</f>
        <v>0</v>
      </c>
      <c r="AO160" s="219">
        <f>IFERROR((ENTRI!AK159)," ")</f>
        <v>0</v>
      </c>
      <c r="AP160" s="219">
        <f>IFERROR((ENTRI!AL159)," ")</f>
        <v>0</v>
      </c>
      <c r="AQ160" s="219">
        <f>IFERROR((ENTRI!AM159)," ")</f>
        <v>0</v>
      </c>
      <c r="AR160" s="216" t="str">
        <f>E160&amp;"."&amp;H160&amp;"."&amp;AW160&amp;"."&amp;ENTRI!$E$4</f>
        <v>06.01.153.2025</v>
      </c>
      <c r="AS160" t="str">
        <f>"YPP.QH/KP.01."&amp;E160&amp;"/"&amp;AW160&amp;"/"&amp;ENTRI!$E$4</f>
        <v>YPP.QH/KP.01.06/153/2025</v>
      </c>
      <c r="AW160" s="277" t="s">
        <v>1048</v>
      </c>
    </row>
    <row r="161">
      <c r="A161">
        <f t="shared" si="53"/>
        <v>137</v>
      </c>
      <c r="B161" s="276">
        <f t="shared" si="55"/>
        <v>2021</v>
      </c>
      <c r="C161" s="277">
        <v>154</v>
      </c>
      <c r="D161" s="219" t="str">
        <f>IFERROR(IF(ENTRI!B160=$AZ$9,$BA$9,IF(ENTRI!B160=$AZ$10,$BA$10,IF(ENTRI!B160=$AZ$11,$BA$11,IF(ENTRI!B160=$AZ$12,$BA$12,IF(ENTRI!B160=$AZ$13,$BA$13,IF(ENTRI!B160=$AZ$14,$BA$14,IF(ENTRI!B160=$AZ$15,$BA$15,IF(ENTRI!B160=$AZ$16,$BA$16,IF(ENTRI!B160=$AZ$17,$BA$17,IF(ENTRI!B160=$AZ$18,$BA$18," "))))))))))," ")</f>
        <v xml:space="preserve">MA Qomarul Hidayah</v>
      </c>
      <c r="E161" s="219" t="str">
        <f>IFERROR((ENTRI!C160)," ")</f>
        <v>05</v>
      </c>
      <c r="F161" s="219">
        <f t="shared" si="56"/>
        <v>137</v>
      </c>
      <c r="G161" s="219" t="str">
        <f>IFERROR((ENTRI!E160)," ")</f>
        <v>Guru</v>
      </c>
      <c r="H161" s="219" t="str">
        <f>IFERROR((ENTRI!F160)," ")</f>
        <v>01</v>
      </c>
      <c r="I161" s="219" t="str">
        <f>IFERROR((ENTRI!G160)," ")</f>
        <v xml:space="preserve">AHMAD BASITH SALAFUDIN, S.Ag.</v>
      </c>
      <c r="J161" s="219" t="str">
        <f>IFERROR((ENTRI!H160)," ")</f>
        <v xml:space="preserve">19960102  202107 05 01 13</v>
      </c>
      <c r="K161" s="219" t="str">
        <f>IFERROR((ENTRI!I160)," ")</f>
        <v>Trenggalek</v>
      </c>
      <c r="L161" s="219" t="str">
        <f>IFERROR((ENTRI!J160)," ")</f>
        <v>02</v>
      </c>
      <c r="M161" s="219" t="str">
        <f>IFERROR((ENTRI!K160)," ")</f>
        <v>01</v>
      </c>
      <c r="N161" s="219">
        <f>IFERROR((ENTRI!L160)," ")</f>
        <v>1996</v>
      </c>
      <c r="O161" s="219" t="str">
        <f t="shared" si="57"/>
        <v xml:space="preserve">Trenggalek, 02-01-1996</v>
      </c>
      <c r="P161" s="219" t="str">
        <f>IFERROR((ENTRI!N160)," ")</f>
        <v>12</v>
      </c>
      <c r="Q161" s="219" t="str">
        <f>IFERROR((ENTRI!O160)," ")</f>
        <v>07</v>
      </c>
      <c r="R161" s="219">
        <f>IFERROR((ENTRI!P160)," ")</f>
        <v>2021</v>
      </c>
      <c r="S161" s="219" t="str">
        <f t="shared" si="58"/>
        <v>12-07-2021</v>
      </c>
      <c r="T161" s="219" t="str">
        <f>IFERROR((ENTRI!Q160)," ")</f>
        <v>12</v>
      </c>
      <c r="U161" s="219" t="str">
        <f>IFERROR((ENTRI!R160)," ")</f>
        <v>07</v>
      </c>
      <c r="V161" s="219">
        <f>IFERROR((ENTRI!S160)," ")</f>
        <v>2021</v>
      </c>
      <c r="W161" s="219" t="str">
        <f t="shared" si="59"/>
        <v>12-07-2021</v>
      </c>
      <c r="X161" s="219">
        <f>IFERROR((ENTRI!T160)," ")</f>
        <v>4</v>
      </c>
      <c r="Y161" s="219">
        <f>IFERROR((ENTRI!U160)," ")</f>
        <v>4</v>
      </c>
      <c r="Z161" s="219">
        <f>IFERROR((ENTRI!V160)," ")</f>
        <v>4</v>
      </c>
      <c r="AA161" s="219">
        <f>IFERROR((ENTRI!W160)," ")</f>
        <v>4</v>
      </c>
      <c r="AB161" s="219" t="str">
        <f>IFERROR((ENTRI!X160)," ")</f>
        <v>S1</v>
      </c>
      <c r="AC161" s="219" t="str">
        <f>IFERROR((ENTRI!Y160)," ")</f>
        <v xml:space="preserve">Ilmu Al - Qur'an dan Tafsir</v>
      </c>
      <c r="AD161" s="219">
        <f>IFERROR((ENTRI!Z160)," ")</f>
        <v>0</v>
      </c>
      <c r="AE161" s="219">
        <f>IFERROR((ENTRI!AA160)," ")</f>
        <v>0</v>
      </c>
      <c r="AF161" s="219">
        <f>IFERROR((ENTRI!AB160)," ")</f>
        <v>0</v>
      </c>
      <c r="AG161" s="219">
        <f>IFERROR((ENTRI!AC160)," ")</f>
        <v>0</v>
      </c>
      <c r="AH161" s="219">
        <f>IFERROR((ENTRI!AD160)," ")</f>
        <v>0</v>
      </c>
      <c r="AI161" s="219">
        <f>IFERROR((ENTRI!AE160)," ")</f>
        <v>0</v>
      </c>
      <c r="AJ161" s="219">
        <f>IFERROR((ENTRI!AF160)," ")</f>
        <v>0</v>
      </c>
      <c r="AK161" s="219">
        <f>IFERROR((ENTRI!AG160)," ")</f>
        <v>0</v>
      </c>
      <c r="AL161" s="219">
        <f>IFERROR((ENTRI!AH160)," ")</f>
        <v>0</v>
      </c>
      <c r="AM161" s="219">
        <f>IFERROR((ENTRI!AI160)," ")</f>
        <v>0</v>
      </c>
      <c r="AN161" s="219">
        <f>IFERROR((ENTRI!AJ160)," ")</f>
        <v>0</v>
      </c>
      <c r="AO161" s="219">
        <f>IFERROR((ENTRI!AK160)," ")</f>
        <v>0</v>
      </c>
      <c r="AP161" s="219">
        <f>IFERROR((ENTRI!AL160)," ")</f>
        <v>0</v>
      </c>
      <c r="AQ161" s="219">
        <f>IFERROR((ENTRI!AM160)," ")</f>
        <v>0</v>
      </c>
      <c r="AR161" s="216" t="str">
        <f>E161&amp;"."&amp;H161&amp;"."&amp;AW161&amp;"."&amp;ENTRI!$E$4</f>
        <v>05.01.154.2025</v>
      </c>
      <c r="AS161" t="str">
        <f>"YPP.QH/KP.01."&amp;E161&amp;"/"&amp;AW161&amp;"/"&amp;ENTRI!$E$4</f>
        <v>YPP.QH/KP.01.05/154/2025</v>
      </c>
      <c r="AW161" s="277" t="s">
        <v>1049</v>
      </c>
    </row>
    <row r="162">
      <c r="A162">
        <f t="shared" si="53"/>
        <v>137</v>
      </c>
      <c r="B162" s="276">
        <f t="shared" si="55"/>
        <v>2021</v>
      </c>
      <c r="C162" s="277">
        <v>155</v>
      </c>
      <c r="D162" s="219" t="str">
        <f>IFERROR(IF(ENTRI!B161=$AZ$9,$BA$9,IF(ENTRI!B161=$AZ$10,$BA$10,IF(ENTRI!B161=$AZ$11,$BA$11,IF(ENTRI!B161=$AZ$12,$BA$12,IF(ENTRI!B161=$AZ$13,$BA$13,IF(ENTRI!B161=$AZ$14,$BA$14,IF(ENTRI!B161=$AZ$15,$BA$15,IF(ENTRI!B161=$AZ$16,$BA$16,IF(ENTRI!B161=$AZ$17,$BA$17,IF(ENTRI!B161=$AZ$18,$BA$18," "))))))))))," ")</f>
        <v xml:space="preserve">MA Qomarul Hidayah</v>
      </c>
      <c r="E162" s="219" t="str">
        <f>IFERROR((ENTRI!C161)," ")</f>
        <v>05</v>
      </c>
      <c r="F162" s="219">
        <f t="shared" si="56"/>
        <v>137</v>
      </c>
      <c r="G162" s="219" t="str">
        <f>IFERROR((ENTRI!E161)," ")</f>
        <v>Guru</v>
      </c>
      <c r="H162" s="219" t="str">
        <f>IFERROR((ENTRI!F161)," ")</f>
        <v>01</v>
      </c>
      <c r="I162" s="219" t="str">
        <f>IFERROR((ENTRI!G161)," ")</f>
        <v xml:space="preserve">APRILIA  KHOIRUNISA', S.Pd.</v>
      </c>
      <c r="J162" s="219" t="str">
        <f>IFERROR((ENTRI!H161)," ")</f>
        <v xml:space="preserve">19960425  202107 05 01 12</v>
      </c>
      <c r="K162" s="219" t="str">
        <f>IFERROR((ENTRI!I161)," ")</f>
        <v>Trenggalek</v>
      </c>
      <c r="L162" s="219" t="str">
        <f>IFERROR((ENTRI!J161)," ")</f>
        <v>25</v>
      </c>
      <c r="M162" s="219" t="str">
        <f>IFERROR((ENTRI!K161)," ")</f>
        <v>04</v>
      </c>
      <c r="N162" s="219">
        <f>IFERROR((ENTRI!L161)," ")</f>
        <v>1996</v>
      </c>
      <c r="O162" s="219" t="str">
        <f t="shared" si="57"/>
        <v xml:space="preserve">Trenggalek, 25-04-1996</v>
      </c>
      <c r="P162" s="219" t="str">
        <f>IFERROR((ENTRI!N161)," ")</f>
        <v>12</v>
      </c>
      <c r="Q162" s="219" t="str">
        <f>IFERROR((ENTRI!O161)," ")</f>
        <v>07</v>
      </c>
      <c r="R162" s="219">
        <f>IFERROR((ENTRI!P161)," ")</f>
        <v>2021</v>
      </c>
      <c r="S162" s="219" t="str">
        <f t="shared" si="58"/>
        <v>12-07-2021</v>
      </c>
      <c r="T162" s="219" t="str">
        <f>IFERROR((ENTRI!Q161)," ")</f>
        <v>12</v>
      </c>
      <c r="U162" s="219" t="str">
        <f>IFERROR((ENTRI!R161)," ")</f>
        <v>07</v>
      </c>
      <c r="V162" s="219">
        <f>IFERROR((ENTRI!S161)," ")</f>
        <v>2021</v>
      </c>
      <c r="W162" s="219" t="str">
        <f t="shared" si="59"/>
        <v>12-07-2021</v>
      </c>
      <c r="X162" s="219">
        <f>IFERROR((ENTRI!T161)," ")</f>
        <v>4</v>
      </c>
      <c r="Y162" s="219">
        <f>IFERROR((ENTRI!U161)," ")</f>
        <v>4</v>
      </c>
      <c r="Z162" s="219">
        <f>IFERROR((ENTRI!V161)," ")</f>
        <v>4</v>
      </c>
      <c r="AA162" s="219">
        <f>IFERROR((ENTRI!W161)," ")</f>
        <v>4</v>
      </c>
      <c r="AB162" s="219" t="str">
        <f>IFERROR((ENTRI!X161)," ")</f>
        <v>S1</v>
      </c>
      <c r="AC162" s="219" t="str">
        <f>IFERROR((ENTRI!Y161)," ")</f>
        <v xml:space="preserve">Tadris Matematika</v>
      </c>
      <c r="AD162" s="219">
        <f>IFERROR((ENTRI!Z161)," ")</f>
        <v>0</v>
      </c>
      <c r="AE162" s="219">
        <f>IFERROR((ENTRI!AA161)," ")</f>
        <v>0</v>
      </c>
      <c r="AF162" s="219">
        <f>IFERROR((ENTRI!AB161)," ")</f>
        <v>0</v>
      </c>
      <c r="AG162" s="219">
        <f>IFERROR((ENTRI!AC161)," ")</f>
        <v>0</v>
      </c>
      <c r="AH162" s="219">
        <f>IFERROR((ENTRI!AD161)," ")</f>
        <v>0</v>
      </c>
      <c r="AI162" s="219">
        <f>IFERROR((ENTRI!AE161)," ")</f>
        <v>0</v>
      </c>
      <c r="AJ162" s="219">
        <f>IFERROR((ENTRI!AF161)," ")</f>
        <v>0</v>
      </c>
      <c r="AK162" s="219">
        <f>IFERROR((ENTRI!AG161)," ")</f>
        <v>0</v>
      </c>
      <c r="AL162" s="219">
        <f>IFERROR((ENTRI!AH161)," ")</f>
        <v>0</v>
      </c>
      <c r="AM162" s="219">
        <f>IFERROR((ENTRI!AI161)," ")</f>
        <v>0</v>
      </c>
      <c r="AN162" s="219">
        <f>IFERROR((ENTRI!AJ161)," ")</f>
        <v>0</v>
      </c>
      <c r="AO162" s="219">
        <f>IFERROR((ENTRI!AK161)," ")</f>
        <v>0</v>
      </c>
      <c r="AP162" s="219">
        <f>IFERROR((ENTRI!AL161)," ")</f>
        <v>0</v>
      </c>
      <c r="AQ162" s="219">
        <f>IFERROR((ENTRI!AM161)," ")</f>
        <v>0</v>
      </c>
      <c r="AR162" s="216" t="str">
        <f>E162&amp;"."&amp;H162&amp;"."&amp;AW162&amp;"."&amp;ENTRI!$E$4</f>
        <v>05.01.155.2025</v>
      </c>
      <c r="AS162" t="str">
        <f>"YPP.QH/KP.01."&amp;E162&amp;"/"&amp;AW162&amp;"/"&amp;ENTRI!$E$4</f>
        <v>YPP.QH/KP.01.05/155/2025</v>
      </c>
      <c r="AW162" s="277" t="s">
        <v>1050</v>
      </c>
    </row>
    <row r="163">
      <c r="A163">
        <f t="shared" si="53"/>
        <v>137</v>
      </c>
      <c r="B163" s="276">
        <f t="shared" si="55"/>
        <v>2021</v>
      </c>
      <c r="C163" s="277">
        <v>156</v>
      </c>
      <c r="D163" s="219" t="str">
        <f>IFERROR(IF(ENTRI!B162=$AZ$9,$BA$9,IF(ENTRI!B162=$AZ$10,$BA$10,IF(ENTRI!B162=$AZ$11,$BA$11,IF(ENTRI!B162=$AZ$12,$BA$12,IF(ENTRI!B162=$AZ$13,$BA$13,IF(ENTRI!B162=$AZ$14,$BA$14,IF(ENTRI!B162=$AZ$15,$BA$15,IF(ENTRI!B162=$AZ$16,$BA$16,IF(ENTRI!B162=$AZ$17,$BA$17,IF(ENTRI!B162=$AZ$18,$BA$18," "))))))))))," ")</f>
        <v xml:space="preserve">MA Qomarul Hidayah</v>
      </c>
      <c r="E163" s="219" t="str">
        <f>IFERROR((ENTRI!C162)," ")</f>
        <v>05</v>
      </c>
      <c r="F163" s="219">
        <f t="shared" si="56"/>
        <v>137</v>
      </c>
      <c r="G163" s="219" t="str">
        <f>IFERROR((ENTRI!E162)," ")</f>
        <v>Guru</v>
      </c>
      <c r="H163" s="219" t="str">
        <f>IFERROR((ENTRI!F162)," ")</f>
        <v>01</v>
      </c>
      <c r="I163" s="219" t="str">
        <f>IFERROR((ENTRI!G162)," ")</f>
        <v xml:space="preserve">BACHRUL ULUMUL MUQORROBIN,S.Pd.</v>
      </c>
      <c r="J163" s="219" t="str">
        <f>IFERROR((ENTRI!H162)," ")</f>
        <v xml:space="preserve">19961004  202107 05 01 12</v>
      </c>
      <c r="K163" s="219" t="str">
        <f>IFERROR((ENTRI!I162)," ")</f>
        <v>Trenggalek</v>
      </c>
      <c r="L163" s="219" t="str">
        <f>IFERROR((ENTRI!J162)," ")</f>
        <v>04</v>
      </c>
      <c r="M163" s="219" t="str">
        <f>IFERROR((ENTRI!K162)," ")</f>
        <v>10</v>
      </c>
      <c r="N163" s="219">
        <f>IFERROR((ENTRI!L162)," ")</f>
        <v>1996</v>
      </c>
      <c r="O163" s="219" t="str">
        <f t="shared" si="57"/>
        <v xml:space="preserve">Trenggalek, 04-10-1996</v>
      </c>
      <c r="P163" s="219" t="str">
        <f>IFERROR((ENTRI!N162)," ")</f>
        <v>12</v>
      </c>
      <c r="Q163" s="219" t="str">
        <f>IFERROR((ENTRI!O162)," ")</f>
        <v>07</v>
      </c>
      <c r="R163" s="219">
        <f>IFERROR((ENTRI!P162)," ")</f>
        <v>2021</v>
      </c>
      <c r="S163" s="219" t="str">
        <f t="shared" si="58"/>
        <v>12-07-2021</v>
      </c>
      <c r="T163" s="219" t="str">
        <f>IFERROR((ENTRI!Q162)," ")</f>
        <v>12</v>
      </c>
      <c r="U163" s="219" t="str">
        <f>IFERROR((ENTRI!R162)," ")</f>
        <v>07</v>
      </c>
      <c r="V163" s="219">
        <f>IFERROR((ENTRI!S162)," ")</f>
        <v>2021</v>
      </c>
      <c r="W163" s="219" t="str">
        <f t="shared" si="59"/>
        <v>12-07-2021</v>
      </c>
      <c r="X163" s="219">
        <f>IFERROR((ENTRI!T162)," ")</f>
        <v>4</v>
      </c>
      <c r="Y163" s="219">
        <f>IFERROR((ENTRI!U162)," ")</f>
        <v>4</v>
      </c>
      <c r="Z163" s="219">
        <f>IFERROR((ENTRI!V162)," ")</f>
        <v>4</v>
      </c>
      <c r="AA163" s="219">
        <f>IFERROR((ENTRI!W162)," ")</f>
        <v>4</v>
      </c>
      <c r="AB163" s="219" t="str">
        <f>IFERROR((ENTRI!X162)," ")</f>
        <v>S1</v>
      </c>
      <c r="AC163" s="219" t="str">
        <f>IFERROR((ENTRI!Y162)," ")</f>
        <v xml:space="preserve">Pendidikan Agama Islam </v>
      </c>
      <c r="AD163" s="219">
        <f>IFERROR((ENTRI!Z162)," ")</f>
        <v>0</v>
      </c>
      <c r="AE163" s="219">
        <f>IFERROR((ENTRI!AA162)," ")</f>
        <v>0</v>
      </c>
      <c r="AF163" s="219">
        <f>IFERROR((ENTRI!AB162)," ")</f>
        <v>0</v>
      </c>
      <c r="AG163" s="219">
        <f>IFERROR((ENTRI!AC162)," ")</f>
        <v>0</v>
      </c>
      <c r="AH163" s="219">
        <f>IFERROR((ENTRI!AD162)," ")</f>
        <v>0</v>
      </c>
      <c r="AI163" s="219">
        <f>IFERROR((ENTRI!AE162)," ")</f>
        <v>0</v>
      </c>
      <c r="AJ163" s="219">
        <f>IFERROR((ENTRI!AF162)," ")</f>
        <v>0</v>
      </c>
      <c r="AK163" s="219">
        <f>IFERROR((ENTRI!AG162)," ")</f>
        <v>0</v>
      </c>
      <c r="AL163" s="219">
        <f>IFERROR((ENTRI!AH162)," ")</f>
        <v>0</v>
      </c>
      <c r="AM163" s="219">
        <f>IFERROR((ENTRI!AI162)," ")</f>
        <v>0</v>
      </c>
      <c r="AN163" s="219">
        <f>IFERROR((ENTRI!AJ162)," ")</f>
        <v>0</v>
      </c>
      <c r="AO163" s="219">
        <f>IFERROR((ENTRI!AK162)," ")</f>
        <v>0</v>
      </c>
      <c r="AP163" s="219">
        <f>IFERROR((ENTRI!AL162)," ")</f>
        <v>0</v>
      </c>
      <c r="AQ163" s="219">
        <f>IFERROR((ENTRI!AM162)," ")</f>
        <v>0</v>
      </c>
      <c r="AR163" s="216" t="str">
        <f>E163&amp;"."&amp;H163&amp;"."&amp;AW163&amp;"."&amp;ENTRI!$E$4</f>
        <v>05.01.156.2025</v>
      </c>
      <c r="AS163" t="str">
        <f>"YPP.QH/KP.01."&amp;E163&amp;"/"&amp;AW163&amp;"/"&amp;ENTRI!$E$4</f>
        <v>YPP.QH/KP.01.05/156/2025</v>
      </c>
      <c r="AW163" s="277" t="s">
        <v>1051</v>
      </c>
    </row>
    <row r="164">
      <c r="A164">
        <f t="shared" si="53"/>
        <v>137</v>
      </c>
      <c r="B164" s="276">
        <f t="shared" si="55"/>
        <v>2021</v>
      </c>
      <c r="C164" s="277">
        <v>157</v>
      </c>
      <c r="D164" s="219" t="str">
        <f>IFERROR(IF(ENTRI!B163=$AZ$9,$BA$9,IF(ENTRI!B163=$AZ$10,$BA$10,IF(ENTRI!B163=$AZ$11,$BA$11,IF(ENTRI!B163=$AZ$12,$BA$12,IF(ENTRI!B163=$AZ$13,$BA$13,IF(ENTRI!B163=$AZ$14,$BA$14,IF(ENTRI!B163=$AZ$15,$BA$15,IF(ENTRI!B163=$AZ$16,$BA$16,IF(ENTRI!B163=$AZ$17,$BA$17,IF(ENTRI!B163=$AZ$18,$BA$18," "))))))))))," ")</f>
        <v xml:space="preserve">MI Qomarul Hidayah</v>
      </c>
      <c r="E164" s="219" t="str">
        <f>IFERROR((ENTRI!C163)," ")</f>
        <v>03</v>
      </c>
      <c r="F164" s="219">
        <f t="shared" si="56"/>
        <v>137</v>
      </c>
      <c r="G164" s="219" t="str">
        <f>IFERROR((ENTRI!E163)," ")</f>
        <v>Guru</v>
      </c>
      <c r="H164" s="219" t="str">
        <f>IFERROR((ENTRI!F163)," ")</f>
        <v>01</v>
      </c>
      <c r="I164" s="219" t="str">
        <f>IFERROR((ENTRI!G163)," ")</f>
        <v xml:space="preserve">EKA VERAWATI, S.Pd.</v>
      </c>
      <c r="J164" s="219" t="str">
        <f>IFERROR((ENTRI!H163)," ")</f>
        <v xml:space="preserve">19960801  202101 03 01 18</v>
      </c>
      <c r="K164" s="219" t="str">
        <f>IFERROR((ENTRI!I163)," ")</f>
        <v>Trenggalek</v>
      </c>
      <c r="L164" s="219" t="str">
        <f>IFERROR((ENTRI!J163)," ")</f>
        <v>01</v>
      </c>
      <c r="M164" s="219" t="str">
        <f>IFERROR((ENTRI!K163)," ")</f>
        <v>08</v>
      </c>
      <c r="N164" s="219">
        <f>IFERROR((ENTRI!L163)," ")</f>
        <v>1996</v>
      </c>
      <c r="O164" s="219" t="str">
        <f t="shared" si="57"/>
        <v xml:space="preserve">Trenggalek, 01-08-1996</v>
      </c>
      <c r="P164" s="219" t="str">
        <f>IFERROR((ENTRI!N163)," ")</f>
        <v>01</v>
      </c>
      <c r="Q164" s="219" t="str">
        <f>IFERROR((ENTRI!O163)," ")</f>
        <v>01</v>
      </c>
      <c r="R164" s="219">
        <f>IFERROR((ENTRI!P163)," ")</f>
        <v>2021</v>
      </c>
      <c r="S164" s="219" t="str">
        <f t="shared" si="58"/>
        <v>01-01-2021</v>
      </c>
      <c r="T164" s="219" t="str">
        <f>IFERROR((ENTRI!Q163)," ")</f>
        <v>01</v>
      </c>
      <c r="U164" s="219" t="str">
        <f>IFERROR((ENTRI!R163)," ")</f>
        <v>01</v>
      </c>
      <c r="V164" s="219">
        <f>IFERROR((ENTRI!S163)," ")</f>
        <v>2021</v>
      </c>
      <c r="W164" s="219" t="str">
        <f t="shared" si="59"/>
        <v>01-01-2021</v>
      </c>
      <c r="X164" s="219">
        <f>IFERROR((ENTRI!T163)," ")</f>
        <v>4</v>
      </c>
      <c r="Y164" s="219">
        <f>IFERROR((ENTRI!U163)," ")</f>
        <v>4</v>
      </c>
      <c r="Z164" s="219">
        <f>IFERROR((ENTRI!V163)," ")</f>
        <v>4</v>
      </c>
      <c r="AA164" s="219">
        <f>IFERROR((ENTRI!W163)," ")</f>
        <v>4</v>
      </c>
      <c r="AB164" s="219" t="str">
        <f>IFERROR((ENTRI!X163)," ")</f>
        <v>S1</v>
      </c>
      <c r="AC164" s="219" t="str">
        <f>IFERROR((ENTRI!Y163)," ")</f>
        <v>PGSD</v>
      </c>
      <c r="AD164" s="219">
        <f>IFERROR((ENTRI!Z163)," ")</f>
        <v>0</v>
      </c>
      <c r="AE164" s="219">
        <f>IFERROR((ENTRI!AA163)," ")</f>
        <v>0</v>
      </c>
      <c r="AF164" s="219">
        <f>IFERROR((ENTRI!AB163)," ")</f>
        <v>0</v>
      </c>
      <c r="AG164" s="219">
        <f>IFERROR((ENTRI!AC163)," ")</f>
        <v>0</v>
      </c>
      <c r="AH164" s="219">
        <f>IFERROR((ENTRI!AD163)," ")</f>
        <v>0</v>
      </c>
      <c r="AI164" s="219">
        <f>IFERROR((ENTRI!AE163)," ")</f>
        <v>0</v>
      </c>
      <c r="AJ164" s="219">
        <f>IFERROR((ENTRI!AF163)," ")</f>
        <v>0</v>
      </c>
      <c r="AK164" s="219">
        <f>IFERROR((ENTRI!AG163)," ")</f>
        <v>0</v>
      </c>
      <c r="AL164" s="219">
        <f>IFERROR((ENTRI!AH163)," ")</f>
        <v>0</v>
      </c>
      <c r="AM164" s="219">
        <f>IFERROR((ENTRI!AI163)," ")</f>
        <v>0</v>
      </c>
      <c r="AN164" s="219">
        <f>IFERROR((ENTRI!AJ163)," ")</f>
        <v>0</v>
      </c>
      <c r="AO164" s="219">
        <f>IFERROR((ENTRI!AK163)," ")</f>
        <v>0</v>
      </c>
      <c r="AP164" s="219">
        <f>IFERROR((ENTRI!AL163)," ")</f>
        <v>0</v>
      </c>
      <c r="AQ164" s="219">
        <f>IFERROR((ENTRI!AM163)," ")</f>
        <v>0</v>
      </c>
      <c r="AR164" s="216" t="str">
        <f>E164&amp;"."&amp;H164&amp;"."&amp;AW164&amp;"."&amp;ENTRI!$E$4</f>
        <v>03.01.157.2025</v>
      </c>
      <c r="AS164" t="str">
        <f>"YPP.QH/KP.01."&amp;E164&amp;"/"&amp;AW164&amp;"/"&amp;ENTRI!$E$4</f>
        <v>YPP.QH/KP.01.03/157/2025</v>
      </c>
      <c r="AW164" s="277" t="s">
        <v>1052</v>
      </c>
    </row>
    <row r="165">
      <c r="A165">
        <f t="shared" si="53"/>
        <v>146</v>
      </c>
      <c r="B165" s="276">
        <f t="shared" si="55"/>
        <v>2022</v>
      </c>
      <c r="C165" s="277">
        <v>158</v>
      </c>
      <c r="D165" s="219" t="str">
        <f>IFERROR(IF(ENTRI!B164=$AZ$9,$BA$9,IF(ENTRI!B164=$AZ$10,$BA$10,IF(ENTRI!B164=$AZ$11,$BA$11,IF(ENTRI!B164=$AZ$12,$BA$12,IF(ENTRI!B164=$AZ$13,$BA$13,IF(ENTRI!B164=$AZ$14,$BA$14,IF(ENTRI!B164=$AZ$15,$BA$15,IF(ENTRI!B164=$AZ$16,$BA$16,IF(ENTRI!B164=$AZ$17,$BA$17,IF(ENTRI!B164=$AZ$18,$BA$18," "))))))))))," ")</f>
        <v xml:space="preserve">MTs Qomarul Hidayah</v>
      </c>
      <c r="E165" s="219" t="str">
        <f>IFERROR((ENTRI!C164)," ")</f>
        <v>04</v>
      </c>
      <c r="F165" s="219">
        <f t="shared" si="56"/>
        <v>146</v>
      </c>
      <c r="G165" s="219" t="str">
        <f>IFERROR((ENTRI!E164)," ")</f>
        <v>Guru</v>
      </c>
      <c r="H165" s="219" t="str">
        <f>IFERROR((ENTRI!F164)," ")</f>
        <v>01</v>
      </c>
      <c r="I165" s="219" t="str">
        <f>IFERROR((ENTRI!G164)," ")</f>
        <v xml:space="preserve">NOVIA PRAHASTI WULANDARI, S.Pd</v>
      </c>
      <c r="J165" s="219" t="str">
        <f>IFERROR((ENTRI!H164)," ")</f>
        <v xml:space="preserve">19961108  202201 04 01 03</v>
      </c>
      <c r="K165" s="219" t="str">
        <f>IFERROR((ENTRI!I164)," ")</f>
        <v>Trenggalek</v>
      </c>
      <c r="L165" s="219" t="str">
        <f>IFERROR((ENTRI!J164)," ")</f>
        <v>08</v>
      </c>
      <c r="M165" s="219" t="str">
        <f>IFERROR((ENTRI!K164)," ")</f>
        <v>11</v>
      </c>
      <c r="N165" s="219">
        <f>IFERROR((ENTRI!L164)," ")</f>
        <v>1996</v>
      </c>
      <c r="O165" s="219" t="str">
        <f t="shared" si="57"/>
        <v xml:space="preserve">Trenggalek, 08-11-1996</v>
      </c>
      <c r="P165" s="219" t="str">
        <f>IFERROR((ENTRI!N164)," ")</f>
        <v>03</v>
      </c>
      <c r="Q165" s="219" t="str">
        <f>IFERROR((ENTRI!O164)," ")</f>
        <v>01</v>
      </c>
      <c r="R165" s="219">
        <f>IFERROR((ENTRI!P164)," ")</f>
        <v>2022</v>
      </c>
      <c r="S165" s="219" t="str">
        <f t="shared" si="58"/>
        <v>03-01-2022</v>
      </c>
      <c r="T165" s="219" t="str">
        <f>IFERROR((ENTRI!Q164)," ")</f>
        <v>03</v>
      </c>
      <c r="U165" s="219" t="str">
        <f>IFERROR((ENTRI!R164)," ")</f>
        <v>01</v>
      </c>
      <c r="V165" s="219">
        <f>IFERROR((ENTRI!S164)," ")</f>
        <v>2022</v>
      </c>
      <c r="W165" s="219" t="str">
        <f t="shared" si="59"/>
        <v>03-01-2022</v>
      </c>
      <c r="X165" s="219">
        <f>IFERROR((ENTRI!T164)," ")</f>
        <v>3</v>
      </c>
      <c r="Y165" s="219">
        <f>IFERROR((ENTRI!U164)," ")</f>
        <v>3</v>
      </c>
      <c r="Z165" s="219">
        <f>IFERROR((ENTRI!V164)," ")</f>
        <v>3</v>
      </c>
      <c r="AA165" s="219">
        <f>IFERROR((ENTRI!W164)," ")</f>
        <v>3</v>
      </c>
      <c r="AB165" s="219" t="str">
        <f>IFERROR((ENTRI!X164)," ")</f>
        <v>S1</v>
      </c>
      <c r="AC165" s="219" t="str">
        <f>IFERROR((ENTRI!Y164)," ")</f>
        <v xml:space="preserve">PENDIDIKAN SAINS</v>
      </c>
      <c r="AD165" s="219">
        <f>IFERROR((ENTRI!Z164)," ")</f>
        <v>0</v>
      </c>
      <c r="AE165" s="219">
        <f>IFERROR((ENTRI!AA164)," ")</f>
        <v>0</v>
      </c>
      <c r="AF165" s="219">
        <f>IFERROR((ENTRI!AB164)," ")</f>
        <v>0</v>
      </c>
      <c r="AG165" s="219">
        <f>IFERROR((ENTRI!AC164)," ")</f>
        <v>0</v>
      </c>
      <c r="AH165" s="219">
        <f>IFERROR((ENTRI!AD164)," ")</f>
        <v>0</v>
      </c>
      <c r="AI165" s="219">
        <f>IFERROR((ENTRI!AE164)," ")</f>
        <v>0</v>
      </c>
      <c r="AJ165" s="219">
        <f>IFERROR((ENTRI!AF164)," ")</f>
        <v>0</v>
      </c>
      <c r="AK165" s="219">
        <f>IFERROR((ENTRI!AG164)," ")</f>
        <v>0</v>
      </c>
      <c r="AL165" s="219">
        <f>IFERROR((ENTRI!AH164)," ")</f>
        <v>0</v>
      </c>
      <c r="AM165" s="219">
        <f>IFERROR((ENTRI!AI164)," ")</f>
        <v>0</v>
      </c>
      <c r="AN165" s="219">
        <f>IFERROR((ENTRI!AJ164)," ")</f>
        <v>0</v>
      </c>
      <c r="AO165" s="219">
        <f>IFERROR((ENTRI!AK164)," ")</f>
        <v>0</v>
      </c>
      <c r="AP165" s="219">
        <f>IFERROR((ENTRI!AL164)," ")</f>
        <v>0</v>
      </c>
      <c r="AQ165" s="219">
        <f>IFERROR((ENTRI!AM164)," ")</f>
        <v>0</v>
      </c>
      <c r="AR165" s="216" t="str">
        <f>E165&amp;"."&amp;H165&amp;"."&amp;AW165&amp;"."&amp;ENTRI!$E$4</f>
        <v>04.01.158.2025</v>
      </c>
      <c r="AS165" t="str">
        <f>"YPP.QH/KP.01."&amp;E165&amp;"/"&amp;AW165&amp;"/"&amp;ENTRI!$E$4</f>
        <v>YPP.QH/KP.01.04/158/2025</v>
      </c>
      <c r="AW165" s="277" t="s">
        <v>1053</v>
      </c>
    </row>
    <row r="166">
      <c r="A166">
        <f t="shared" si="53"/>
        <v>146</v>
      </c>
      <c r="B166" s="276">
        <f t="shared" si="55"/>
        <v>2022</v>
      </c>
      <c r="C166" s="277">
        <v>159</v>
      </c>
      <c r="D166" s="219" t="str">
        <f>IFERROR(IF(ENTRI!B165=$AZ$9,$BA$9,IF(ENTRI!B165=$AZ$10,$BA$10,IF(ENTRI!B165=$AZ$11,$BA$11,IF(ENTRI!B165=$AZ$12,$BA$12,IF(ENTRI!B165=$AZ$13,$BA$13,IF(ENTRI!B165=$AZ$14,$BA$14,IF(ENTRI!B165=$AZ$15,$BA$15,IF(ENTRI!B165=$AZ$16,$BA$16,IF(ENTRI!B165=$AZ$17,$BA$17,IF(ENTRI!B165=$AZ$18,$BA$18," "))))))))))," ")</f>
        <v xml:space="preserve">MTs Qomarul Hidayah</v>
      </c>
      <c r="E166" s="219" t="str">
        <f>IFERROR((ENTRI!C165)," ")</f>
        <v>04</v>
      </c>
      <c r="F166" s="219">
        <f t="shared" si="56"/>
        <v>146</v>
      </c>
      <c r="G166" s="219" t="str">
        <f>IFERROR((ENTRI!E165)," ")</f>
        <v>Guru</v>
      </c>
      <c r="H166" s="219" t="str">
        <f>IFERROR((ENTRI!F165)," ")</f>
        <v>01</v>
      </c>
      <c r="I166" s="219" t="str">
        <f>IFERROR((ENTRI!G165)," ")</f>
        <v xml:space="preserve">KURNIAWATI APRILIA RUSDIANA PUTRI, S.Pd</v>
      </c>
      <c r="J166" s="219" t="str">
        <f>IFERROR((ENTRI!H165)," ")</f>
        <v xml:space="preserve">20000406  202207 04 01 18</v>
      </c>
      <c r="K166" s="219" t="str">
        <f>IFERROR((ENTRI!I165)," ")</f>
        <v>Trenggalek</v>
      </c>
      <c r="L166" s="219" t="str">
        <f>IFERROR((ENTRI!J165)," ")</f>
        <v>06</v>
      </c>
      <c r="M166" s="219" t="str">
        <f>IFERROR((ENTRI!K165)," ")</f>
        <v>04</v>
      </c>
      <c r="N166" s="219">
        <f>IFERROR((ENTRI!L165)," ")</f>
        <v>2000</v>
      </c>
      <c r="O166" s="219" t="str">
        <f t="shared" si="57"/>
        <v xml:space="preserve">Trenggalek, 06-04-2000</v>
      </c>
      <c r="P166" s="219" t="str">
        <f>IFERROR((ENTRI!N165)," ")</f>
        <v>18</v>
      </c>
      <c r="Q166" s="219" t="str">
        <f>IFERROR((ENTRI!O165)," ")</f>
        <v>07</v>
      </c>
      <c r="R166" s="219">
        <f>IFERROR((ENTRI!P165)," ")</f>
        <v>2022</v>
      </c>
      <c r="S166" s="219" t="str">
        <f t="shared" si="58"/>
        <v>18-07-2022</v>
      </c>
      <c r="T166" s="219" t="str">
        <f>IFERROR((ENTRI!Q165)," ")</f>
        <v>18</v>
      </c>
      <c r="U166" s="219" t="str">
        <f>IFERROR((ENTRI!R165)," ")</f>
        <v>07</v>
      </c>
      <c r="V166" s="219">
        <f>IFERROR((ENTRI!S165)," ")</f>
        <v>2022</v>
      </c>
      <c r="W166" s="219" t="str">
        <f t="shared" si="59"/>
        <v>18-07-2022</v>
      </c>
      <c r="X166" s="219">
        <f>IFERROR((ENTRI!T165)," ")</f>
        <v>3</v>
      </c>
      <c r="Y166" s="219">
        <f>IFERROR((ENTRI!U165)," ")</f>
        <v>3</v>
      </c>
      <c r="Z166" s="219">
        <f>IFERROR((ENTRI!V165)," ")</f>
        <v>3</v>
      </c>
      <c r="AA166" s="219">
        <f>IFERROR((ENTRI!W165)," ")</f>
        <v>3</v>
      </c>
      <c r="AB166" s="219" t="str">
        <f>IFERROR((ENTRI!X165)," ")</f>
        <v>S1</v>
      </c>
      <c r="AC166" s="219" t="str">
        <f>IFERROR((ENTRI!Y165)," ")</f>
        <v xml:space="preserve">PENDIDIKAN BAHASA ARAB</v>
      </c>
      <c r="AD166" s="219">
        <f>IFERROR((ENTRI!Z165)," ")</f>
        <v>0</v>
      </c>
      <c r="AE166" s="219">
        <f>IFERROR((ENTRI!AA165)," ")</f>
        <v>0</v>
      </c>
      <c r="AF166" s="219">
        <f>IFERROR((ENTRI!AB165)," ")</f>
        <v>0</v>
      </c>
      <c r="AG166" s="219">
        <f>IFERROR((ENTRI!AC165)," ")</f>
        <v>0</v>
      </c>
      <c r="AH166" s="219">
        <f>IFERROR((ENTRI!AD165)," ")</f>
        <v>0</v>
      </c>
      <c r="AI166" s="219">
        <f>IFERROR((ENTRI!AE165)," ")</f>
        <v>0</v>
      </c>
      <c r="AJ166" s="219">
        <f>IFERROR((ENTRI!AF165)," ")</f>
        <v>0</v>
      </c>
      <c r="AK166" s="219">
        <f>IFERROR((ENTRI!AG165)," ")</f>
        <v>0</v>
      </c>
      <c r="AL166" s="219">
        <f>IFERROR((ENTRI!AH165)," ")</f>
        <v>0</v>
      </c>
      <c r="AM166" s="219">
        <f>IFERROR((ENTRI!AI165)," ")</f>
        <v>0</v>
      </c>
      <c r="AN166" s="219">
        <f>IFERROR((ENTRI!AJ165)," ")</f>
        <v>0</v>
      </c>
      <c r="AO166" s="219">
        <f>IFERROR((ENTRI!AK165)," ")</f>
        <v>0</v>
      </c>
      <c r="AP166" s="219">
        <f>IFERROR((ENTRI!AL165)," ")</f>
        <v>0</v>
      </c>
      <c r="AQ166" s="219">
        <f>IFERROR((ENTRI!AM165)," ")</f>
        <v>0</v>
      </c>
      <c r="AR166" s="216" t="str">
        <f>E166&amp;"."&amp;H166&amp;"."&amp;AW166&amp;"."&amp;ENTRI!$E$4</f>
        <v>04.01.159.2025</v>
      </c>
      <c r="AS166" t="str">
        <f>"YPP.QH/KP.01."&amp;E166&amp;"/"&amp;AW166&amp;"/"&amp;ENTRI!$E$4</f>
        <v>YPP.QH/KP.01.04/159/2025</v>
      </c>
      <c r="AW166" s="277" t="s">
        <v>1054</v>
      </c>
    </row>
    <row r="167">
      <c r="A167">
        <f t="shared" si="53"/>
        <v>146</v>
      </c>
      <c r="B167" s="276">
        <f t="shared" si="55"/>
        <v>2022</v>
      </c>
      <c r="C167" s="277">
        <v>160</v>
      </c>
      <c r="D167" s="219" t="str">
        <f>IFERROR(IF(ENTRI!B166=$AZ$9,$BA$9,IF(ENTRI!B166=$AZ$10,$BA$10,IF(ENTRI!B166=$AZ$11,$BA$11,IF(ENTRI!B166=$AZ$12,$BA$12,IF(ENTRI!B166=$AZ$13,$BA$13,IF(ENTRI!B166=$AZ$14,$BA$14,IF(ENTRI!B166=$AZ$15,$BA$15,IF(ENTRI!B166=$AZ$16,$BA$16,IF(ENTRI!B166=$AZ$17,$BA$17,IF(ENTRI!B166=$AZ$18,$BA$18," "))))))))))," ")</f>
        <v xml:space="preserve">SMK Qomarul Hidayah 2 Tugu</v>
      </c>
      <c r="E167" s="219" t="str">
        <f>IFERROR((ENTRI!C166)," ")</f>
        <v>07</v>
      </c>
      <c r="F167" s="219">
        <f t="shared" si="56"/>
        <v>146</v>
      </c>
      <c r="G167" s="219" t="str">
        <f>IFERROR((ENTRI!E166)," ")</f>
        <v>Guru</v>
      </c>
      <c r="H167" s="219" t="str">
        <f>IFERROR((ENTRI!F166)," ")</f>
        <v>01</v>
      </c>
      <c r="I167" s="219" t="str">
        <f>IFERROR((ENTRI!G166)," ")</f>
        <v xml:space="preserve">KURNIANI NUZULIYA, S.PSI.</v>
      </c>
      <c r="J167" s="219" t="str">
        <f>IFERROR((ENTRI!H166)," ")</f>
        <v xml:space="preserve">19980117  202207 07 01 18</v>
      </c>
      <c r="K167" s="219" t="str">
        <f>IFERROR((ENTRI!I166)," ")</f>
        <v>Trenggalek</v>
      </c>
      <c r="L167" s="219" t="str">
        <f>IFERROR((ENTRI!J166)," ")</f>
        <v>17</v>
      </c>
      <c r="M167" s="219" t="str">
        <f>IFERROR((ENTRI!K166)," ")</f>
        <v>01</v>
      </c>
      <c r="N167" s="219">
        <f>IFERROR((ENTRI!L166)," ")</f>
        <v>1998</v>
      </c>
      <c r="O167" s="219" t="str">
        <f t="shared" si="57"/>
        <v xml:space="preserve">Trenggalek, 17-01-1998</v>
      </c>
      <c r="P167" s="219" t="str">
        <f>IFERROR((ENTRI!N166)," ")</f>
        <v>18</v>
      </c>
      <c r="Q167" s="219" t="str">
        <f>IFERROR((ENTRI!O166)," ")</f>
        <v>07</v>
      </c>
      <c r="R167" s="219">
        <f>IFERROR((ENTRI!P166)," ")</f>
        <v>2022</v>
      </c>
      <c r="S167" s="219" t="str">
        <f t="shared" si="58"/>
        <v>18-07-2022</v>
      </c>
      <c r="T167" s="219" t="str">
        <f>IFERROR((ENTRI!Q166)," ")</f>
        <v>18</v>
      </c>
      <c r="U167" s="219" t="str">
        <f>IFERROR((ENTRI!R166)," ")</f>
        <v>07</v>
      </c>
      <c r="V167" s="219">
        <f>IFERROR((ENTRI!S166)," ")</f>
        <v>2022</v>
      </c>
      <c r="W167" s="219" t="str">
        <f t="shared" si="59"/>
        <v>18-07-2022</v>
      </c>
      <c r="X167" s="219">
        <f>IFERROR((ENTRI!T166)," ")</f>
        <v>3</v>
      </c>
      <c r="Y167" s="219">
        <f>IFERROR((ENTRI!U166)," ")</f>
        <v>3</v>
      </c>
      <c r="Z167" s="219">
        <f>IFERROR((ENTRI!V166)," ")</f>
        <v>3</v>
      </c>
      <c r="AA167" s="219">
        <f>IFERROR((ENTRI!W166)," ")</f>
        <v>3</v>
      </c>
      <c r="AB167" s="219" t="str">
        <f>IFERROR((ENTRI!X166)," ")</f>
        <v>S1</v>
      </c>
      <c r="AC167" s="219" t="str">
        <f>IFERROR((ENTRI!Y166)," ")</f>
        <v>PSIKOLOGI</v>
      </c>
      <c r="AD167" s="219">
        <f>IFERROR((ENTRI!Z166)," ")</f>
        <v>0</v>
      </c>
      <c r="AE167" s="219">
        <f>IFERROR((ENTRI!AA166)," ")</f>
        <v>0</v>
      </c>
      <c r="AF167" s="219">
        <f>IFERROR((ENTRI!AB166)," ")</f>
        <v>0</v>
      </c>
      <c r="AG167" s="219">
        <f>IFERROR((ENTRI!AC166)," ")</f>
        <v>0</v>
      </c>
      <c r="AH167" s="219">
        <f>IFERROR((ENTRI!AD166)," ")</f>
        <v>0</v>
      </c>
      <c r="AI167" s="219">
        <f>IFERROR((ENTRI!AE166)," ")</f>
        <v>0</v>
      </c>
      <c r="AJ167" s="219">
        <f>IFERROR((ENTRI!AF166)," ")</f>
        <v>0</v>
      </c>
      <c r="AK167" s="219">
        <f>IFERROR((ENTRI!AG166)," ")</f>
        <v>0</v>
      </c>
      <c r="AL167" s="219">
        <f>IFERROR((ENTRI!AH166)," ")</f>
        <v>0</v>
      </c>
      <c r="AM167" s="219">
        <f>IFERROR((ENTRI!AI166)," ")</f>
        <v>0</v>
      </c>
      <c r="AN167" s="219">
        <f>IFERROR((ENTRI!AJ166)," ")</f>
        <v>0</v>
      </c>
      <c r="AO167" s="219">
        <f>IFERROR((ENTRI!AK166)," ")</f>
        <v>0</v>
      </c>
      <c r="AP167" s="219">
        <f>IFERROR((ENTRI!AL166)," ")</f>
        <v>0</v>
      </c>
      <c r="AQ167" s="219">
        <f>IFERROR((ENTRI!AM166)," ")</f>
        <v>0</v>
      </c>
      <c r="AR167" s="216" t="str">
        <f>E167&amp;"."&amp;H167&amp;"."&amp;AW167&amp;"."&amp;ENTRI!$E$4</f>
        <v>07.01.160.2025</v>
      </c>
      <c r="AS167" t="str">
        <f>"YPP.QH/KP.01."&amp;E167&amp;"/"&amp;AW167&amp;"/"&amp;ENTRI!$E$4</f>
        <v>YPP.QH/KP.01.07/160/2025</v>
      </c>
      <c r="AW167" s="277" t="s">
        <v>1055</v>
      </c>
    </row>
    <row r="168">
      <c r="A168">
        <f t="shared" ref="A168:A177" si="62">IF(B168=0," ",RANK(B168,$B$8:$B$178,1))</f>
        <v>146</v>
      </c>
      <c r="B168" s="276">
        <f t="shared" si="55"/>
        <v>2022</v>
      </c>
      <c r="C168" s="277">
        <v>161</v>
      </c>
      <c r="D168" s="219" t="str">
        <f>IFERROR(IF(ENTRI!B167=$AZ$9,$BA$9,IF(ENTRI!B167=$AZ$10,$BA$10,IF(ENTRI!B167=$AZ$11,$BA$11,IF(ENTRI!B167=$AZ$12,$BA$12,IF(ENTRI!B167=$AZ$13,$BA$13,IF(ENTRI!B167=$AZ$14,$BA$14,IF(ENTRI!B167=$AZ$15,$BA$15,IF(ENTRI!B167=$AZ$16,$BA$16,IF(ENTRI!B167=$AZ$17,$BA$17,IF(ENTRI!B167=$AZ$18,$BA$18," "))))))))))," ")</f>
        <v xml:space="preserve">MA Qomarul Hidayah</v>
      </c>
      <c r="E168" s="219" t="str">
        <f>IFERROR((ENTRI!C167)," ")</f>
        <v>05</v>
      </c>
      <c r="F168" s="219">
        <f t="shared" si="56"/>
        <v>146</v>
      </c>
      <c r="G168" s="219" t="str">
        <f>IFERROR((ENTRI!E167)," ")</f>
        <v>Guru</v>
      </c>
      <c r="H168" s="219" t="str">
        <f>IFERROR((ENTRI!F167)," ")</f>
        <v>01</v>
      </c>
      <c r="I168" s="219" t="str">
        <f>IFERROR((ENTRI!G167)," ")</f>
        <v xml:space="preserve">LENNY NUUROTUL MASHLIHAH, S.Pd.</v>
      </c>
      <c r="J168" s="219" t="str">
        <f>IFERROR((ENTRI!H167)," ")</f>
        <v xml:space="preserve">19961106  202207 05 01 17</v>
      </c>
      <c r="K168" s="219" t="str">
        <f>IFERROR((ENTRI!I167)," ")</f>
        <v>Trenggalek</v>
      </c>
      <c r="L168" s="219" t="str">
        <f>IFERROR((ENTRI!J167)," ")</f>
        <v>06</v>
      </c>
      <c r="M168" s="219" t="str">
        <f>IFERROR((ENTRI!K167)," ")</f>
        <v>11</v>
      </c>
      <c r="N168" s="219">
        <f>IFERROR((ENTRI!L167)," ")</f>
        <v>1996</v>
      </c>
      <c r="O168" s="219" t="str">
        <f t="shared" si="57"/>
        <v xml:space="preserve">Trenggalek, 06-11-1996</v>
      </c>
      <c r="P168" s="219" t="str">
        <f>IFERROR((ENTRI!N167)," ")</f>
        <v>17</v>
      </c>
      <c r="Q168" s="219" t="str">
        <f>IFERROR((ENTRI!O167)," ")</f>
        <v>07</v>
      </c>
      <c r="R168" s="219">
        <f>IFERROR((ENTRI!P167)," ")</f>
        <v>2022</v>
      </c>
      <c r="S168" s="219" t="str">
        <f t="shared" si="58"/>
        <v>17-07-2022</v>
      </c>
      <c r="T168" s="219" t="str">
        <f>IFERROR((ENTRI!Q167)," ")</f>
        <v>17</v>
      </c>
      <c r="U168" s="219" t="str">
        <f>IFERROR((ENTRI!R167)," ")</f>
        <v>07</v>
      </c>
      <c r="V168" s="219">
        <f>IFERROR((ENTRI!S167)," ")</f>
        <v>2022</v>
      </c>
      <c r="W168" s="219" t="str">
        <f t="shared" si="59"/>
        <v>17-07-2022</v>
      </c>
      <c r="X168" s="219">
        <f>IFERROR((ENTRI!T167)," ")</f>
        <v>3</v>
      </c>
      <c r="Y168" s="219">
        <f>IFERROR((ENTRI!U167)," ")</f>
        <v>3</v>
      </c>
      <c r="Z168" s="219">
        <f>IFERROR((ENTRI!V167)," ")</f>
        <v>3</v>
      </c>
      <c r="AA168" s="219">
        <f>IFERROR((ENTRI!W167)," ")</f>
        <v>3</v>
      </c>
      <c r="AB168" s="219" t="str">
        <f>IFERROR((ENTRI!X167)," ")</f>
        <v>S1</v>
      </c>
      <c r="AC168" s="219" t="str">
        <f>IFERROR((ENTRI!Y167)," ")</f>
        <v xml:space="preserve">PENDIDIKAN MATEMATIKA</v>
      </c>
      <c r="AD168" s="219">
        <f>IFERROR((ENTRI!Z167)," ")</f>
        <v>0</v>
      </c>
      <c r="AE168" s="219">
        <f>IFERROR((ENTRI!AA167)," ")</f>
        <v>0</v>
      </c>
      <c r="AF168" s="219">
        <f>IFERROR((ENTRI!AB167)," ")</f>
        <v>0</v>
      </c>
      <c r="AG168" s="219">
        <f>IFERROR((ENTRI!AC167)," ")</f>
        <v>0</v>
      </c>
      <c r="AH168" s="219">
        <f>IFERROR((ENTRI!AD167)," ")</f>
        <v>0</v>
      </c>
      <c r="AI168" s="219">
        <f>IFERROR((ENTRI!AE167)," ")</f>
        <v>0</v>
      </c>
      <c r="AJ168" s="219">
        <f>IFERROR((ENTRI!AF167)," ")</f>
        <v>0</v>
      </c>
      <c r="AK168" s="219">
        <f>IFERROR((ENTRI!AG167)," ")</f>
        <v>0</v>
      </c>
      <c r="AL168" s="219">
        <f>IFERROR((ENTRI!AH167)," ")</f>
        <v>0</v>
      </c>
      <c r="AM168" s="219">
        <f>IFERROR((ENTRI!AI167)," ")</f>
        <v>0</v>
      </c>
      <c r="AN168" s="219">
        <f>IFERROR((ENTRI!AJ167)," ")</f>
        <v>0</v>
      </c>
      <c r="AO168" s="219">
        <f>IFERROR((ENTRI!AK167)," ")</f>
        <v>0</v>
      </c>
      <c r="AP168" s="219">
        <f>IFERROR((ENTRI!AL167)," ")</f>
        <v>0</v>
      </c>
      <c r="AQ168" s="219">
        <f>IFERROR((ENTRI!AM167)," ")</f>
        <v>0</v>
      </c>
      <c r="AR168" s="216" t="str">
        <f>E168&amp;"."&amp;H168&amp;"."&amp;AW168&amp;"."&amp;ENTRI!$E$4</f>
        <v>05.01.161.2025</v>
      </c>
      <c r="AS168" t="str">
        <f>"YPP.QH/KP.01."&amp;E168&amp;"/"&amp;AW168&amp;"/"&amp;ENTRI!$E$4</f>
        <v>YPP.QH/KP.01.05/161/2025</v>
      </c>
      <c r="AW168" s="277" t="s">
        <v>1056</v>
      </c>
    </row>
    <row r="169">
      <c r="A169">
        <f t="shared" si="62"/>
        <v>146</v>
      </c>
      <c r="B169" s="276">
        <f t="shared" si="55"/>
        <v>2022</v>
      </c>
      <c r="C169" s="277">
        <v>162</v>
      </c>
      <c r="D169" s="219" t="str">
        <f>IFERROR(IF(ENTRI!B168=$AZ$9,$BA$9,IF(ENTRI!B168=$AZ$10,$BA$10,IF(ENTRI!B168=$AZ$11,$BA$11,IF(ENTRI!B168=$AZ$12,$BA$12,IF(ENTRI!B168=$AZ$13,$BA$13,IF(ENTRI!B168=$AZ$14,$BA$14,IF(ENTRI!B168=$AZ$15,$BA$15,IF(ENTRI!B168=$AZ$16,$BA$16,IF(ENTRI!B168=$AZ$17,$BA$17,IF(ENTRI!B168=$AZ$18,$BA$18," "))))))))))," ")</f>
        <v xml:space="preserve">MA Qomarul Hidayah</v>
      </c>
      <c r="E169" s="219" t="str">
        <f>IFERROR((ENTRI!C168)," ")</f>
        <v>05</v>
      </c>
      <c r="F169" s="219">
        <f t="shared" si="56"/>
        <v>146</v>
      </c>
      <c r="G169" s="219" t="str">
        <f>IFERROR((ENTRI!E168)," ")</f>
        <v xml:space="preserve">Tenaga Kependidikan</v>
      </c>
      <c r="H169" s="219" t="str">
        <f>IFERROR((ENTRI!F168)," ")</f>
        <v>02</v>
      </c>
      <c r="I169" s="219" t="str">
        <f>IFERROR((ENTRI!G168)," ")</f>
        <v xml:space="preserve">ERINA RAMADHANI AYUDIN, S.Pd. </v>
      </c>
      <c r="J169" s="219" t="str">
        <f>IFERROR((ENTRI!H168)," ")</f>
        <v xml:space="preserve">19981219  202207 05 02 17</v>
      </c>
      <c r="K169" s="219" t="str">
        <f>IFERROR((ENTRI!I168)," ")</f>
        <v xml:space="preserve">KOT BARU</v>
      </c>
      <c r="L169" s="219" t="str">
        <f>IFERROR((ENTRI!J168)," ")</f>
        <v>19</v>
      </c>
      <c r="M169" s="219" t="str">
        <f>IFERROR((ENTRI!K168)," ")</f>
        <v>12</v>
      </c>
      <c r="N169" s="219">
        <f>IFERROR((ENTRI!L168)," ")</f>
        <v>1998</v>
      </c>
      <c r="O169" s="219" t="str">
        <f t="shared" si="57"/>
        <v xml:space="preserve">KOT BARU, 19-12-1998</v>
      </c>
      <c r="P169" s="219" t="str">
        <f>IFERROR((ENTRI!N168)," ")</f>
        <v>17</v>
      </c>
      <c r="Q169" s="219" t="str">
        <f>IFERROR((ENTRI!O168)," ")</f>
        <v>07</v>
      </c>
      <c r="R169" s="219">
        <f>IFERROR((ENTRI!P168)," ")</f>
        <v>2022</v>
      </c>
      <c r="S169" s="219" t="str">
        <f t="shared" si="58"/>
        <v>17-07-2022</v>
      </c>
      <c r="T169" s="219" t="str">
        <f>IFERROR((ENTRI!Q168)," ")</f>
        <v>17</v>
      </c>
      <c r="U169" s="219" t="str">
        <f>IFERROR((ENTRI!R168)," ")</f>
        <v>07</v>
      </c>
      <c r="V169" s="219">
        <f>IFERROR((ENTRI!S168)," ")</f>
        <v>2022</v>
      </c>
      <c r="W169" s="219" t="str">
        <f t="shared" si="59"/>
        <v>17-07-2022</v>
      </c>
      <c r="X169" s="219">
        <f>IFERROR((ENTRI!T168)," ")</f>
        <v>3</v>
      </c>
      <c r="Y169" s="219">
        <f>IFERROR((ENTRI!U168)," ")</f>
        <v>3</v>
      </c>
      <c r="Z169" s="219">
        <f>IFERROR((ENTRI!V168)," ")</f>
        <v>3</v>
      </c>
      <c r="AA169" s="219">
        <f>IFERROR((ENTRI!W168)," ")</f>
        <v>3</v>
      </c>
      <c r="AB169" s="219" t="str">
        <f>IFERROR((ENTRI!X168)," ")</f>
        <v>S1</v>
      </c>
      <c r="AC169" s="219" t="str">
        <f>IFERROR((ENTRI!Y168)," ")</f>
        <v xml:space="preserve">MANAJEMEN PENDIDIKAN ISLAM</v>
      </c>
      <c r="AD169" s="219">
        <f>IFERROR((ENTRI!Z168)," ")</f>
        <v>0</v>
      </c>
      <c r="AE169" s="219">
        <f>IFERROR((ENTRI!AA168)," ")</f>
        <v>0</v>
      </c>
      <c r="AF169" s="219">
        <f>IFERROR((ENTRI!AB168)," ")</f>
        <v>0</v>
      </c>
      <c r="AG169" s="219">
        <f>IFERROR((ENTRI!AC168)," ")</f>
        <v>0</v>
      </c>
      <c r="AH169" s="219">
        <f>IFERROR((ENTRI!AD168)," ")</f>
        <v>0</v>
      </c>
      <c r="AI169" s="219">
        <f>IFERROR((ENTRI!AE168)," ")</f>
        <v>0</v>
      </c>
      <c r="AJ169" s="219">
        <f>IFERROR((ENTRI!AF168)," ")</f>
        <v>0</v>
      </c>
      <c r="AK169" s="219">
        <f>IFERROR((ENTRI!AG168)," ")</f>
        <v>0</v>
      </c>
      <c r="AL169" s="219">
        <f>IFERROR((ENTRI!AH168)," ")</f>
        <v>0</v>
      </c>
      <c r="AM169" s="219">
        <f>IFERROR((ENTRI!AI168)," ")</f>
        <v>0</v>
      </c>
      <c r="AN169" s="219">
        <f>IFERROR((ENTRI!AJ168)," ")</f>
        <v>0</v>
      </c>
      <c r="AO169" s="219">
        <f>IFERROR((ENTRI!AK168)," ")</f>
        <v>0</v>
      </c>
      <c r="AP169" s="219">
        <f>IFERROR((ENTRI!AL168)," ")</f>
        <v>0</v>
      </c>
      <c r="AQ169" s="219">
        <f>IFERROR((ENTRI!AM168)," ")</f>
        <v>0</v>
      </c>
      <c r="AR169" s="216" t="str">
        <f>E169&amp;"."&amp;H169&amp;"."&amp;AW169&amp;"."&amp;ENTRI!$E$4</f>
        <v>05.02.162.2025</v>
      </c>
      <c r="AS169" t="str">
        <f>"YPP.QH/KP.01."&amp;E169&amp;"/"&amp;AW169&amp;"/"&amp;ENTRI!$E$4</f>
        <v>YPP.QH/KP.01.05/162/2025</v>
      </c>
      <c r="AW169" s="277" t="s">
        <v>1057</v>
      </c>
    </row>
    <row r="170">
      <c r="A170">
        <f t="shared" si="62"/>
        <v>146</v>
      </c>
      <c r="B170" s="276">
        <f t="shared" si="55"/>
        <v>2022</v>
      </c>
      <c r="C170" s="277">
        <v>163</v>
      </c>
      <c r="D170" s="219" t="str">
        <f>IFERROR(IF(ENTRI!B169=$AZ$9,$BA$9,IF(ENTRI!B169=$AZ$10,$BA$10,IF(ENTRI!B169=$AZ$11,$BA$11,IF(ENTRI!B169=$AZ$12,$BA$12,IF(ENTRI!B169=$AZ$13,$BA$13,IF(ENTRI!B169=$AZ$14,$BA$14,IF(ENTRI!B169=$AZ$15,$BA$15,IF(ENTRI!B169=$AZ$16,$BA$16,IF(ENTRI!B169=$AZ$17,$BA$17,IF(ENTRI!B169=$AZ$18,$BA$18," "))))))))))," ")</f>
        <v xml:space="preserve">MI Qomarul Hidayah</v>
      </c>
      <c r="E170" s="219" t="str">
        <f>IFERROR((ENTRI!C169)," ")</f>
        <v>03</v>
      </c>
      <c r="F170" s="219">
        <f t="shared" si="56"/>
        <v>146</v>
      </c>
      <c r="G170" s="219" t="str">
        <f>IFERROR((ENTRI!E169)," ")</f>
        <v>Guru</v>
      </c>
      <c r="H170" s="219" t="str">
        <f>IFERROR((ENTRI!F169)," ")</f>
        <v>01</v>
      </c>
      <c r="I170" s="219" t="str">
        <f>IFERROR((ENTRI!G169)," ")</f>
        <v xml:space="preserve">ANANG SAHRUL MUNIR, S.Pd.</v>
      </c>
      <c r="J170" s="219" t="str">
        <f>IFERROR((ENTRI!H169)," ")</f>
        <v xml:space="preserve">19990204  202207 03 01 05</v>
      </c>
      <c r="K170" s="219" t="str">
        <f>IFERROR((ENTRI!I169)," ")</f>
        <v>Trenggalek</v>
      </c>
      <c r="L170" s="219" t="str">
        <f>IFERROR((ENTRI!J169)," ")</f>
        <v>04</v>
      </c>
      <c r="M170" s="219" t="str">
        <f>IFERROR((ENTRI!K169)," ")</f>
        <v>02</v>
      </c>
      <c r="N170" s="219">
        <f>IFERROR((ENTRI!L169)," ")</f>
        <v>1999</v>
      </c>
      <c r="O170" s="219" t="str">
        <f t="shared" si="57"/>
        <v xml:space="preserve">Trenggalek, 04-02-1999</v>
      </c>
      <c r="P170" s="219" t="str">
        <f>IFERROR((ENTRI!N169)," ")</f>
        <v>05</v>
      </c>
      <c r="Q170" s="219" t="str">
        <f>IFERROR((ENTRI!O169)," ")</f>
        <v>07</v>
      </c>
      <c r="R170" s="219">
        <f>IFERROR((ENTRI!P169)," ")</f>
        <v>2022</v>
      </c>
      <c r="S170" s="219" t="str">
        <f t="shared" si="58"/>
        <v>05-07-2022</v>
      </c>
      <c r="T170" s="219" t="str">
        <f>IFERROR((ENTRI!Q169)," ")</f>
        <v>05</v>
      </c>
      <c r="U170" s="219" t="str">
        <f>IFERROR((ENTRI!R169)," ")</f>
        <v>07</v>
      </c>
      <c r="V170" s="219">
        <f>IFERROR((ENTRI!S169)," ")</f>
        <v>2022</v>
      </c>
      <c r="W170" s="219" t="str">
        <f t="shared" si="59"/>
        <v>05-07-2022</v>
      </c>
      <c r="X170" s="219">
        <f>IFERROR((ENTRI!T169)," ")</f>
        <v>3</v>
      </c>
      <c r="Y170" s="219">
        <f>IFERROR((ENTRI!U169)," ")</f>
        <v>3</v>
      </c>
      <c r="Z170" s="219">
        <f>IFERROR((ENTRI!V169)," ")</f>
        <v>3</v>
      </c>
      <c r="AA170" s="219">
        <f>IFERROR((ENTRI!W169)," ")</f>
        <v>3</v>
      </c>
      <c r="AB170" s="219" t="str">
        <f>IFERROR((ENTRI!X169)," ")</f>
        <v>S1</v>
      </c>
      <c r="AC170" s="219" t="str">
        <f>IFERROR((ENTRI!Y169)," ")</f>
        <v xml:space="preserve">Pendidikan Agama Islam </v>
      </c>
      <c r="AD170" s="219">
        <f>IFERROR((ENTRI!Z169)," ")</f>
        <v>0</v>
      </c>
      <c r="AE170" s="219">
        <f>IFERROR((ENTRI!AA169)," ")</f>
        <v>0</v>
      </c>
      <c r="AF170" s="219">
        <f>IFERROR((ENTRI!AB169)," ")</f>
        <v>0</v>
      </c>
      <c r="AG170" s="219">
        <f>IFERROR((ENTRI!AC169)," ")</f>
        <v>0</v>
      </c>
      <c r="AH170" s="219">
        <f>IFERROR((ENTRI!AD169)," ")</f>
        <v>0</v>
      </c>
      <c r="AI170" s="219">
        <f>IFERROR((ENTRI!AE169)," ")</f>
        <v>0</v>
      </c>
      <c r="AJ170" s="219">
        <f>IFERROR((ENTRI!AF169)," ")</f>
        <v>0</v>
      </c>
      <c r="AK170" s="219">
        <f>IFERROR((ENTRI!AG169)," ")</f>
        <v>0</v>
      </c>
      <c r="AL170" s="219">
        <f>IFERROR((ENTRI!AH169)," ")</f>
        <v>0</v>
      </c>
      <c r="AM170" s="219">
        <f>IFERROR((ENTRI!AI169)," ")</f>
        <v>0</v>
      </c>
      <c r="AN170" s="219">
        <f>IFERROR((ENTRI!AJ169)," ")</f>
        <v>0</v>
      </c>
      <c r="AO170" s="219">
        <f>IFERROR((ENTRI!AK169)," ")</f>
        <v>0</v>
      </c>
      <c r="AP170" s="219">
        <f>IFERROR((ENTRI!AL169)," ")</f>
        <v>0</v>
      </c>
      <c r="AQ170" s="219">
        <f>IFERROR((ENTRI!AM169)," ")</f>
        <v>0</v>
      </c>
      <c r="AR170" s="216" t="str">
        <f>E170&amp;"."&amp;H170&amp;"."&amp;AW170&amp;"."&amp;ENTRI!$E$4</f>
        <v>03.01.163.2025</v>
      </c>
      <c r="AS170" t="str">
        <f>"YPP.QH/KP.01."&amp;E170&amp;"/"&amp;AW170&amp;"/"&amp;ENTRI!$E$4</f>
        <v>YPP.QH/KP.01.03/163/2025</v>
      </c>
      <c r="AW170" s="277" t="s">
        <v>1058</v>
      </c>
    </row>
    <row r="171">
      <c r="A171">
        <f t="shared" si="62"/>
        <v>155</v>
      </c>
      <c r="B171" s="276">
        <f t="shared" si="55"/>
        <v>2023</v>
      </c>
      <c r="C171" s="277">
        <v>164</v>
      </c>
      <c r="D171" s="219" t="str">
        <f>IFERROR(IF(ENTRI!B170=$AZ$9,$BA$9,IF(ENTRI!B170=$AZ$10,$BA$10,IF(ENTRI!B170=$AZ$11,$BA$11,IF(ENTRI!B170=$AZ$12,$BA$12,IF(ENTRI!B170=$AZ$13,$BA$13,IF(ENTRI!B170=$AZ$14,$BA$14,IF(ENTRI!B170=$AZ$15,$BA$15,IF(ENTRI!B170=$AZ$16,$BA$16,IF(ENTRI!B170=$AZ$17,$BA$17,IF(ENTRI!B170=$AZ$18,$BA$18," "))))))))))," ")</f>
        <v xml:space="preserve">MI Qomarul Hidayah</v>
      </c>
      <c r="E171" s="219" t="str">
        <f>IFERROR((ENTRI!C170)," ")</f>
        <v>03</v>
      </c>
      <c r="F171" s="219">
        <f t="shared" si="56"/>
        <v>155</v>
      </c>
      <c r="G171" s="219" t="str">
        <f>IFERROR((ENTRI!E170)," ")</f>
        <v>Guru</v>
      </c>
      <c r="H171" s="219" t="str">
        <f>IFERROR((ENTRI!F170)," ")</f>
        <v>01</v>
      </c>
      <c r="I171" s="219" t="str">
        <f>IFERROR((ENTRI!G170)," ")</f>
        <v xml:space="preserve">SOEHERI UTOMO, S.Pd.</v>
      </c>
      <c r="J171" s="219" t="str">
        <f>IFERROR((ENTRI!H170)," ")</f>
        <v xml:space="preserve">19891016  202301 03 01 05</v>
      </c>
      <c r="K171" s="219" t="str">
        <f>IFERROR((ENTRI!I170)," ")</f>
        <v xml:space="preserve">Muara Teweh</v>
      </c>
      <c r="L171" s="219" t="str">
        <f>IFERROR((ENTRI!J170)," ")</f>
        <v>16</v>
      </c>
      <c r="M171" s="219" t="str">
        <f>IFERROR((ENTRI!K170)," ")</f>
        <v>10</v>
      </c>
      <c r="N171" s="219">
        <f>IFERROR((ENTRI!L170)," ")</f>
        <v>1989</v>
      </c>
      <c r="O171" s="219" t="str">
        <f t="shared" si="57"/>
        <v xml:space="preserve">Muara Teweh, 16-10-1989</v>
      </c>
      <c r="P171" s="219" t="str">
        <f>IFERROR((ENTRI!N170)," ")</f>
        <v>05</v>
      </c>
      <c r="Q171" s="219" t="str">
        <f>IFERROR((ENTRI!O170)," ")</f>
        <v>01</v>
      </c>
      <c r="R171" s="219">
        <f>IFERROR((ENTRI!P170)," ")</f>
        <v>2023</v>
      </c>
      <c r="S171" s="219" t="str">
        <f t="shared" si="58"/>
        <v>05-01-2023</v>
      </c>
      <c r="T171" s="219" t="str">
        <f>IFERROR((ENTRI!Q170)," ")</f>
        <v>05</v>
      </c>
      <c r="U171" s="219" t="str">
        <f>IFERROR((ENTRI!R170)," ")</f>
        <v>01</v>
      </c>
      <c r="V171" s="219">
        <f>IFERROR((ENTRI!S170)," ")</f>
        <v>2023</v>
      </c>
      <c r="W171" s="219" t="str">
        <f t="shared" si="59"/>
        <v>05-01-2023</v>
      </c>
      <c r="X171" s="219">
        <f>IFERROR((ENTRI!T170)," ")</f>
        <v>2</v>
      </c>
      <c r="Y171" s="219">
        <f>IFERROR((ENTRI!U170)," ")</f>
        <v>2</v>
      </c>
      <c r="Z171" s="219">
        <f>IFERROR((ENTRI!V170)," ")</f>
        <v>2</v>
      </c>
      <c r="AA171" s="219">
        <f>IFERROR((ENTRI!W170)," ")</f>
        <v>2</v>
      </c>
      <c r="AB171" s="219" t="str">
        <f>IFERROR((ENTRI!X170)," ")</f>
        <v>S1</v>
      </c>
      <c r="AC171" s="219" t="str">
        <f>IFERROR((ENTRI!Y170)," ")</f>
        <v xml:space="preserve">Pendidikan Jasmani, Kesehatan dan Rekreasi </v>
      </c>
      <c r="AD171" s="219">
        <f>IFERROR((ENTRI!Z170)," ")</f>
        <v>0</v>
      </c>
      <c r="AE171" s="219">
        <f>IFERROR((ENTRI!AA170)," ")</f>
        <v>0</v>
      </c>
      <c r="AF171" s="219">
        <f>IFERROR((ENTRI!AB170)," ")</f>
        <v>0</v>
      </c>
      <c r="AG171" s="219">
        <f>IFERROR((ENTRI!AC170)," ")</f>
        <v>0</v>
      </c>
      <c r="AH171" s="219">
        <f>IFERROR((ENTRI!AD170)," ")</f>
        <v>0</v>
      </c>
      <c r="AI171" s="219">
        <f>IFERROR((ENTRI!AE170)," ")</f>
        <v>0</v>
      </c>
      <c r="AJ171" s="219">
        <f>IFERROR((ENTRI!AF170)," ")</f>
        <v>0</v>
      </c>
      <c r="AK171" s="219">
        <f>IFERROR((ENTRI!AG170)," ")</f>
        <v>0</v>
      </c>
      <c r="AL171" s="219">
        <f>IFERROR((ENTRI!AH170)," ")</f>
        <v>0</v>
      </c>
      <c r="AM171" s="219">
        <f>IFERROR((ENTRI!AI170)," ")</f>
        <v>0</v>
      </c>
      <c r="AN171" s="219">
        <f>IFERROR((ENTRI!AJ170)," ")</f>
        <v>0</v>
      </c>
      <c r="AO171" s="219">
        <f>IFERROR((ENTRI!AK170)," ")</f>
        <v>0</v>
      </c>
      <c r="AP171" s="219">
        <f>IFERROR((ENTRI!AL170)," ")</f>
        <v>0</v>
      </c>
      <c r="AQ171" s="219">
        <f>IFERROR((ENTRI!AM170)," ")</f>
        <v>0</v>
      </c>
      <c r="AR171" s="216" t="str">
        <f>E171&amp;"."&amp;H171&amp;"."&amp;AW171&amp;"."&amp;ENTRI!$E$4</f>
        <v>03.01.164.2025</v>
      </c>
      <c r="AS171" t="str">
        <f>"YPP.QH/KP.01."&amp;E171&amp;"/"&amp;AW171&amp;"/"&amp;ENTRI!$E$4</f>
        <v>YPP.QH/KP.01.03/164/2025</v>
      </c>
      <c r="AW171" s="277" t="s">
        <v>1059</v>
      </c>
    </row>
    <row r="172">
      <c r="A172">
        <f t="shared" si="62"/>
        <v>126</v>
      </c>
      <c r="B172" s="276">
        <f t="shared" si="55"/>
        <v>2019</v>
      </c>
      <c r="C172" s="277">
        <v>165</v>
      </c>
      <c r="D172" s="219" t="str">
        <f>IFERROR(IF(ENTRI!B171=$AZ$9,$BA$9,IF(ENTRI!B171=$AZ$10,$BA$10,IF(ENTRI!B171=$AZ$11,$BA$11,IF(ENTRI!B171=$AZ$12,$BA$12,IF(ENTRI!B171=$AZ$13,$BA$13,IF(ENTRI!B171=$AZ$14,$BA$14,IF(ENTRI!B171=$AZ$15,$BA$15,IF(ENTRI!B171=$AZ$16,$BA$16,IF(ENTRI!B171=$AZ$17,$BA$17,IF(ENTRI!B171=$AZ$18,$BA$18," "))))))))))," ")</f>
        <v xml:space="preserve"> </v>
      </c>
      <c r="E172" s="219" t="str">
        <f>IFERROR((ENTRI!C171)," ")</f>
        <v>08</v>
      </c>
      <c r="F172" s="219">
        <f t="shared" si="56"/>
        <v>126</v>
      </c>
      <c r="G172" s="219" t="str">
        <f>IFERROR((ENTRI!E171)," ")</f>
        <v>Guru</v>
      </c>
      <c r="H172" s="219" t="str">
        <f>IFERROR((ENTRI!F171)," ")</f>
        <v>01</v>
      </c>
      <c r="I172" s="219" t="str">
        <f>IFERROR((ENTRI!G171)," ")</f>
        <v xml:space="preserve">AHMAD SIHABUDDIN</v>
      </c>
      <c r="J172" s="219" t="str">
        <f>IFERROR((ENTRI!H171)," ")</f>
        <v xml:space="preserve">19801230  201907 08 01 07</v>
      </c>
      <c r="K172" s="219" t="str">
        <f>IFERROR((ENTRI!I171)," ")</f>
        <v>Tasikmalaya</v>
      </c>
      <c r="L172" s="219" t="str">
        <f>IFERROR((ENTRI!J171)," ")</f>
        <v>30</v>
      </c>
      <c r="M172" s="219" t="str">
        <f>IFERROR((ENTRI!K171)," ")</f>
        <v>12</v>
      </c>
      <c r="N172" s="219">
        <f>IFERROR((ENTRI!L171)," ")</f>
        <v>1980</v>
      </c>
      <c r="O172" s="219" t="str">
        <f t="shared" si="57"/>
        <v xml:space="preserve">Tasikmalaya, 30-12-1980</v>
      </c>
      <c r="P172" s="219" t="str">
        <f>IFERROR((ENTRI!N171)," ")</f>
        <v>07</v>
      </c>
      <c r="Q172" s="219" t="str">
        <f>IFERROR((ENTRI!O171)," ")</f>
        <v>07</v>
      </c>
      <c r="R172" s="219">
        <f>IFERROR((ENTRI!P171)," ")</f>
        <v>2019</v>
      </c>
      <c r="S172" s="219" t="str">
        <f t="shared" si="58"/>
        <v>07-07-2019</v>
      </c>
      <c r="T172" s="219" t="str">
        <f>IFERROR((ENTRI!Q171)," ")</f>
        <v>07</v>
      </c>
      <c r="U172" s="219" t="str">
        <f>IFERROR((ENTRI!R171)," ")</f>
        <v>07</v>
      </c>
      <c r="V172" s="219">
        <f>IFERROR((ENTRI!S171)," ")</f>
        <v>2019</v>
      </c>
      <c r="W172" s="219" t="str">
        <f t="shared" si="59"/>
        <v>07-07-2019</v>
      </c>
      <c r="X172" s="219">
        <f>IFERROR((ENTRI!T171)," ")</f>
        <v>6</v>
      </c>
      <c r="Y172" s="219">
        <f>IFERROR((ENTRI!U171)," ")</f>
        <v>6</v>
      </c>
      <c r="Z172" s="219">
        <f>IFERROR((ENTRI!V171)," ")</f>
        <v>6</v>
      </c>
      <c r="AA172" s="219">
        <f>IFERROR((ENTRI!W171)," ")</f>
        <v>6</v>
      </c>
      <c r="AB172" s="219" t="str">
        <f>IFERROR((ENTRI!X171)," ")</f>
        <v>SLTA</v>
      </c>
      <c r="AC172" s="219" t="str">
        <f>IFERROR((ENTRI!Y171)," ")</f>
        <v>-</v>
      </c>
      <c r="AD172" s="219">
        <f>IFERROR((ENTRI!Z171)," ")</f>
        <v>0</v>
      </c>
      <c r="AE172" s="219">
        <f>IFERROR((ENTRI!AA171)," ")</f>
        <v>0</v>
      </c>
      <c r="AF172" s="219">
        <f>IFERROR((ENTRI!AB171)," ")</f>
        <v>0</v>
      </c>
      <c r="AG172" s="219">
        <f>IFERROR((ENTRI!AC171)," ")</f>
        <v>0</v>
      </c>
      <c r="AH172" s="219">
        <f>IFERROR((ENTRI!AD171)," ")</f>
        <v>0</v>
      </c>
      <c r="AI172" s="219">
        <f>IFERROR((ENTRI!AE171)," ")</f>
        <v>0</v>
      </c>
      <c r="AJ172" s="219">
        <f>IFERROR((ENTRI!AF171)," ")</f>
        <v>0</v>
      </c>
      <c r="AK172" s="219">
        <f>IFERROR((ENTRI!AG171)," ")</f>
        <v>0</v>
      </c>
      <c r="AL172" s="219">
        <f>IFERROR((ENTRI!AH171)," ")</f>
        <v>0</v>
      </c>
      <c r="AM172" s="219">
        <f>IFERROR((ENTRI!AI171)," ")</f>
        <v>0</v>
      </c>
      <c r="AN172" s="219">
        <f>IFERROR((ENTRI!AJ171)," ")</f>
        <v>0</v>
      </c>
      <c r="AO172" s="219">
        <f>IFERROR((ENTRI!AK171)," ")</f>
        <v>0</v>
      </c>
      <c r="AP172" s="219">
        <f>IFERROR((ENTRI!AL171)," ")</f>
        <v>0</v>
      </c>
      <c r="AQ172" s="219">
        <f>IFERROR((ENTRI!AM171)," ")</f>
        <v>0</v>
      </c>
      <c r="AR172" s="216" t="str">
        <f>E172&amp;"."&amp;H172&amp;"."&amp;AW172&amp;"."&amp;ENTRI!$E$4</f>
        <v>08.01.165.2025</v>
      </c>
      <c r="AS172" t="str">
        <f>"YPP.QH/KP.01."&amp;E172&amp;"/"&amp;AW172&amp;"/"&amp;ENTRI!$E$4</f>
        <v>YPP.QH/KP.01.08/165/2025</v>
      </c>
      <c r="AW172" s="277" t="s">
        <v>1060</v>
      </c>
    </row>
    <row r="173">
      <c r="A173">
        <f t="shared" si="62"/>
        <v>126</v>
      </c>
      <c r="B173" s="276">
        <f t="shared" si="55"/>
        <v>2019</v>
      </c>
      <c r="C173" s="277">
        <v>166</v>
      </c>
      <c r="D173" s="219" t="str">
        <f>IFERROR(IF(ENTRI!B172=$AZ$9,$BA$9,IF(ENTRI!B172=$AZ$10,$BA$10,IF(ENTRI!B172=$AZ$11,$BA$11,IF(ENTRI!B172=$AZ$12,$BA$12,IF(ENTRI!B172=$AZ$13,$BA$13,IF(ENTRI!B172=$AZ$14,$BA$14,IF(ENTRI!B172=$AZ$15,$BA$15,IF(ENTRI!B172=$AZ$16,$BA$16,IF(ENTRI!B172=$AZ$17,$BA$17,IF(ENTRI!B172=$AZ$18,$BA$18," "))))))))))," ")</f>
        <v xml:space="preserve">MTs Qomarul Hidayah</v>
      </c>
      <c r="E173" s="219" t="str">
        <f>IFERROR((ENTRI!C172)," ")</f>
        <v>04</v>
      </c>
      <c r="F173" s="219">
        <f t="shared" si="56"/>
        <v>126</v>
      </c>
      <c r="G173" s="219" t="str">
        <f>IFERROR((ENTRI!E172)," ")</f>
        <v>Guru</v>
      </c>
      <c r="H173" s="219" t="str">
        <f>IFERROR((ENTRI!F172)," ")</f>
        <v>01</v>
      </c>
      <c r="I173" s="219" t="str">
        <f>IFERROR((ENTRI!G172)," ")</f>
        <v xml:space="preserve">ALWI MUSTOFA</v>
      </c>
      <c r="J173" s="219" t="str">
        <f>IFERROR((ENTRI!H172)," ")</f>
        <v xml:space="preserve">19810807  201907 04 01 07</v>
      </c>
      <c r="K173" s="219" t="str">
        <f>IFERROR((ENTRI!I172)," ")</f>
        <v>Trenggalek</v>
      </c>
      <c r="L173" s="219" t="str">
        <f>IFERROR((ENTRI!J172)," ")</f>
        <v>07</v>
      </c>
      <c r="M173" s="219" t="str">
        <f>IFERROR((ENTRI!K172)," ")</f>
        <v>08</v>
      </c>
      <c r="N173" s="219">
        <f>IFERROR((ENTRI!L172)," ")</f>
        <v>1981</v>
      </c>
      <c r="O173" s="219" t="str">
        <f t="shared" si="57"/>
        <v xml:space="preserve">Trenggalek, 07-08-1981</v>
      </c>
      <c r="P173" s="219" t="str">
        <f>IFERROR((ENTRI!N172)," ")</f>
        <v>07</v>
      </c>
      <c r="Q173" s="219" t="str">
        <f>IFERROR((ENTRI!O172)," ")</f>
        <v>07</v>
      </c>
      <c r="R173" s="219">
        <f>IFERROR((ENTRI!P172)," ")</f>
        <v>2019</v>
      </c>
      <c r="S173" s="219" t="str">
        <f t="shared" si="58"/>
        <v>07-07-2019</v>
      </c>
      <c r="T173" s="219" t="str">
        <f>IFERROR((ENTRI!Q172)," ")</f>
        <v>07</v>
      </c>
      <c r="U173" s="219" t="str">
        <f>IFERROR((ENTRI!R172)," ")</f>
        <v>07</v>
      </c>
      <c r="V173" s="219">
        <f>IFERROR((ENTRI!S172)," ")</f>
        <v>2019</v>
      </c>
      <c r="W173" s="219" t="str">
        <f t="shared" si="59"/>
        <v>07-07-2019</v>
      </c>
      <c r="X173" s="219">
        <f>IFERROR((ENTRI!T172)," ")</f>
        <v>6</v>
      </c>
      <c r="Y173" s="219">
        <f>IFERROR((ENTRI!U172)," ")</f>
        <v>6</v>
      </c>
      <c r="Z173" s="219">
        <f>IFERROR((ENTRI!V172)," ")</f>
        <v>6</v>
      </c>
      <c r="AA173" s="219">
        <f>IFERROR((ENTRI!W172)," ")</f>
        <v>6</v>
      </c>
      <c r="AB173" s="219" t="str">
        <f>IFERROR((ENTRI!X172)," ")</f>
        <v>SLTA</v>
      </c>
      <c r="AC173" s="219" t="str">
        <f>IFERROR((ENTRI!Y172)," ")</f>
        <v>-</v>
      </c>
      <c r="AD173" s="219">
        <f>IFERROR((ENTRI!Z172)," ")</f>
        <v>0</v>
      </c>
      <c r="AE173" s="219">
        <f>IFERROR((ENTRI!AA172)," ")</f>
        <v>0</v>
      </c>
      <c r="AF173" s="219">
        <f>IFERROR((ENTRI!AB172)," ")</f>
        <v>0</v>
      </c>
      <c r="AG173" s="219">
        <f>IFERROR((ENTRI!AC172)," ")</f>
        <v>0</v>
      </c>
      <c r="AH173" s="219">
        <f>IFERROR((ENTRI!AD172)," ")</f>
        <v>0</v>
      </c>
      <c r="AI173" s="219">
        <f>IFERROR((ENTRI!AE172)," ")</f>
        <v>0</v>
      </c>
      <c r="AJ173" s="219">
        <f>IFERROR((ENTRI!AF172)," ")</f>
        <v>0</v>
      </c>
      <c r="AK173" s="219">
        <f>IFERROR((ENTRI!AG172)," ")</f>
        <v>0</v>
      </c>
      <c r="AL173" s="219">
        <f>IFERROR((ENTRI!AH172)," ")</f>
        <v>0</v>
      </c>
      <c r="AM173" s="219">
        <f>IFERROR((ENTRI!AI172)," ")</f>
        <v>0</v>
      </c>
      <c r="AN173" s="219">
        <f>IFERROR((ENTRI!AJ172)," ")</f>
        <v>0</v>
      </c>
      <c r="AO173" s="219">
        <f>IFERROR((ENTRI!AK172)," ")</f>
        <v>0</v>
      </c>
      <c r="AP173" s="219">
        <f>IFERROR((ENTRI!AL172)," ")</f>
        <v>0</v>
      </c>
      <c r="AQ173" s="219">
        <f>IFERROR((ENTRI!AM172)," ")</f>
        <v>0</v>
      </c>
      <c r="AR173" s="216" t="str">
        <f>E173&amp;"."&amp;H173&amp;"."&amp;AW173&amp;"."&amp;ENTRI!$E$4</f>
        <v>04.01.166.2025</v>
      </c>
      <c r="AS173" t="str">
        <f>"YPP.QH/KP.01."&amp;E173&amp;"/"&amp;AW173&amp;"/"&amp;ENTRI!$E$4</f>
        <v>YPP.QH/KP.01.04/166/2025</v>
      </c>
      <c r="AW173" s="277" t="s">
        <v>1061</v>
      </c>
    </row>
    <row r="174">
      <c r="A174">
        <f t="shared" si="62"/>
        <v>155</v>
      </c>
      <c r="B174" s="276">
        <f t="shared" si="55"/>
        <v>2023</v>
      </c>
      <c r="C174" s="277">
        <v>167</v>
      </c>
      <c r="D174" s="219" t="str">
        <f>IFERROR(IF(ENTRI!B173=$AZ$9,$BA$9,IF(ENTRI!B173=$AZ$10,$BA$10,IF(ENTRI!B173=$AZ$11,$BA$11,IF(ENTRI!B173=$AZ$12,$BA$12,IF(ENTRI!B173=$AZ$13,$BA$13,IF(ENTRI!B173=$AZ$14,$BA$14,IF(ENTRI!B173=$AZ$15,$BA$15,IF(ENTRI!B173=$AZ$16,$BA$16,IF(ENTRI!B173=$AZ$17,$BA$17,IF(ENTRI!B173=$AZ$18,$BA$18," "))))))))))," ")</f>
        <v xml:space="preserve">MTs Qomarul Hidayah</v>
      </c>
      <c r="E174" s="219" t="str">
        <f>IFERROR((ENTRI!C173)," ")</f>
        <v>04</v>
      </c>
      <c r="F174" s="219">
        <f t="shared" si="56"/>
        <v>155</v>
      </c>
      <c r="G174" s="219" t="str">
        <f>IFERROR((ENTRI!E173)," ")</f>
        <v xml:space="preserve">Tenaga Kependidikan</v>
      </c>
      <c r="H174" s="219" t="str">
        <f>IFERROR((ENTRI!F173)," ")</f>
        <v>02</v>
      </c>
      <c r="I174" s="219" t="str">
        <f>IFERROR((ENTRI!G173)," ")</f>
        <v xml:space="preserve">DIYAN TRIONO</v>
      </c>
      <c r="J174" s="219" t="str">
        <f>IFERROR((ENTRI!H173)," ")</f>
        <v xml:space="preserve">19981109  202307 04 02 17</v>
      </c>
      <c r="K174" s="219" t="str">
        <f>IFERROR((ENTRI!I173)," ")</f>
        <v>Trenggalek</v>
      </c>
      <c r="L174" s="219" t="str">
        <f>IFERROR((ENTRI!J173)," ")</f>
        <v>09</v>
      </c>
      <c r="M174" s="219" t="str">
        <f>IFERROR((ENTRI!K173)," ")</f>
        <v>11</v>
      </c>
      <c r="N174" s="219">
        <f>IFERROR((ENTRI!L173)," ")</f>
        <v>1998</v>
      </c>
      <c r="O174" s="219" t="str">
        <f t="shared" si="57"/>
        <v xml:space="preserve">Trenggalek, 09-11-1998</v>
      </c>
      <c r="P174" s="219" t="str">
        <f>IFERROR((ENTRI!N173)," ")</f>
        <v>17</v>
      </c>
      <c r="Q174" s="219" t="str">
        <f>IFERROR((ENTRI!O173)," ")</f>
        <v>07</v>
      </c>
      <c r="R174" s="219">
        <f>IFERROR((ENTRI!P173)," ")</f>
        <v>2023</v>
      </c>
      <c r="S174" s="219" t="str">
        <f t="shared" si="58"/>
        <v>17-07-2023</v>
      </c>
      <c r="T174" s="219" t="str">
        <f>IFERROR((ENTRI!Q173)," ")</f>
        <v>17</v>
      </c>
      <c r="U174" s="219" t="str">
        <f>IFERROR((ENTRI!R173)," ")</f>
        <v>07</v>
      </c>
      <c r="V174" s="219">
        <f>IFERROR((ENTRI!S173)," ")</f>
        <v>2023</v>
      </c>
      <c r="W174" s="219" t="str">
        <f t="shared" si="59"/>
        <v>17-07-2023</v>
      </c>
      <c r="X174" s="219">
        <f>IFERROR((ENTRI!T173)," ")</f>
        <v>2</v>
      </c>
      <c r="Y174" s="219">
        <f>IFERROR((ENTRI!U173)," ")</f>
        <v>2</v>
      </c>
      <c r="Z174" s="219">
        <f>IFERROR((ENTRI!V173)," ")</f>
        <v>2</v>
      </c>
      <c r="AA174" s="219">
        <f>IFERROR((ENTRI!W173)," ")</f>
        <v>2</v>
      </c>
      <c r="AB174" s="219" t="str">
        <f>IFERROR((ENTRI!X173)," ")</f>
        <v>SLTA</v>
      </c>
      <c r="AC174" s="219" t="str">
        <f>IFERROR((ENTRI!Y173)," ")</f>
        <v xml:space="preserve">ADMINISTRASI PERKANTORAN</v>
      </c>
      <c r="AD174" s="219">
        <f>IFERROR((ENTRI!Z173)," ")</f>
        <v>0</v>
      </c>
      <c r="AE174" s="219">
        <f>IFERROR((ENTRI!AA173)," ")</f>
        <v>0</v>
      </c>
      <c r="AF174" s="219">
        <f>IFERROR((ENTRI!AB173)," ")</f>
        <v>0</v>
      </c>
      <c r="AG174" s="219">
        <f>IFERROR((ENTRI!AC173)," ")</f>
        <v>0</v>
      </c>
      <c r="AH174" s="219">
        <f>IFERROR((ENTRI!AD173)," ")</f>
        <v>0</v>
      </c>
      <c r="AI174" s="219">
        <f>IFERROR((ENTRI!AE173)," ")</f>
        <v>0</v>
      </c>
      <c r="AJ174" s="219">
        <f>IFERROR((ENTRI!AF173)," ")</f>
        <v>0</v>
      </c>
      <c r="AK174" s="219">
        <f>IFERROR((ENTRI!AG173)," ")</f>
        <v>0</v>
      </c>
      <c r="AL174" s="219">
        <f>IFERROR((ENTRI!AH173)," ")</f>
        <v>0</v>
      </c>
      <c r="AM174" s="219">
        <f>IFERROR((ENTRI!AI173)," ")</f>
        <v>0</v>
      </c>
      <c r="AN174" s="219">
        <f>IFERROR((ENTRI!AJ173)," ")</f>
        <v>0</v>
      </c>
      <c r="AO174" s="219">
        <f>IFERROR((ENTRI!AK173)," ")</f>
        <v>0</v>
      </c>
      <c r="AP174" s="219">
        <f>IFERROR((ENTRI!AL173)," ")</f>
        <v>0</v>
      </c>
      <c r="AQ174" s="219">
        <f>IFERROR((ENTRI!AM173)," ")</f>
        <v>0</v>
      </c>
      <c r="AR174" s="216" t="str">
        <f>E174&amp;"."&amp;H174&amp;"."&amp;AW174&amp;"."&amp;ENTRI!$E$4</f>
        <v>04.02.167.2025</v>
      </c>
      <c r="AS174" t="str">
        <f>"YPP.QH/KP.01."&amp;E174&amp;"/"&amp;AW174&amp;"/"&amp;ENTRI!$E$4</f>
        <v>YPP.QH/KP.01.04/167/2025</v>
      </c>
      <c r="AW174" s="277" t="s">
        <v>1062</v>
      </c>
    </row>
    <row r="175">
      <c r="A175">
        <f t="shared" si="62"/>
        <v>155</v>
      </c>
      <c r="B175" s="276">
        <f t="shared" si="55"/>
        <v>2023</v>
      </c>
      <c r="C175" s="277">
        <v>168</v>
      </c>
      <c r="D175" s="219" t="str">
        <f>IFERROR(IF(ENTRI!B174=$AZ$9,$BA$9,IF(ENTRI!B174=$AZ$10,$BA$10,IF(ENTRI!B174=$AZ$11,$BA$11,IF(ENTRI!B174=$AZ$12,$BA$12,IF(ENTRI!B174=$AZ$13,$BA$13,IF(ENTRI!B174=$AZ$14,$BA$14,IF(ENTRI!B174=$AZ$15,$BA$15,IF(ENTRI!B174=$AZ$16,$BA$16,IF(ENTRI!B174=$AZ$17,$BA$17,IF(ENTRI!B174=$AZ$18,$BA$18," "))))))))))," ")</f>
        <v xml:space="preserve">MTs Qomarul Hidayah</v>
      </c>
      <c r="E175" s="219" t="str">
        <f>IFERROR((ENTRI!C174)," ")</f>
        <v>04</v>
      </c>
      <c r="F175" s="219">
        <f t="shared" si="56"/>
        <v>155</v>
      </c>
      <c r="G175" s="219" t="str">
        <f>IFERROR((ENTRI!E174)," ")</f>
        <v xml:space="preserve">Tenaga Kependidikan</v>
      </c>
      <c r="H175" s="219" t="str">
        <f>IFERROR((ENTRI!F174)," ")</f>
        <v>02</v>
      </c>
      <c r="I175" s="219" t="str">
        <f>IFERROR((ENTRI!G174)," ")</f>
        <v xml:space="preserve">MUHAMMAD HARIS AFIFUDIN</v>
      </c>
      <c r="J175" s="219" t="str">
        <f>IFERROR((ENTRI!H174)," ")</f>
        <v xml:space="preserve">20030702  202307 04 02 17</v>
      </c>
      <c r="K175" s="219" t="str">
        <f>IFERROR((ENTRI!I174)," ")</f>
        <v>Trenggalek</v>
      </c>
      <c r="L175" s="219" t="str">
        <f>IFERROR((ENTRI!J174)," ")</f>
        <v>02</v>
      </c>
      <c r="M175" s="219" t="str">
        <f>IFERROR((ENTRI!K174)," ")</f>
        <v>07</v>
      </c>
      <c r="N175" s="219">
        <f>IFERROR((ENTRI!L174)," ")</f>
        <v>2003</v>
      </c>
      <c r="O175" s="219" t="str">
        <f t="shared" si="57"/>
        <v xml:space="preserve">Trenggalek, 02-07-2003</v>
      </c>
      <c r="P175" s="219" t="str">
        <f>IFERROR((ENTRI!N174)," ")</f>
        <v>17</v>
      </c>
      <c r="Q175" s="219" t="str">
        <f>IFERROR((ENTRI!O174)," ")</f>
        <v>07</v>
      </c>
      <c r="R175" s="219">
        <f>IFERROR((ENTRI!P174)," ")</f>
        <v>2023</v>
      </c>
      <c r="S175" s="219" t="str">
        <f t="shared" si="58"/>
        <v>17-07-2023</v>
      </c>
      <c r="T175" s="219" t="str">
        <f>IFERROR((ENTRI!Q174)," ")</f>
        <v>17</v>
      </c>
      <c r="U175" s="219" t="str">
        <f>IFERROR((ENTRI!R174)," ")</f>
        <v>07</v>
      </c>
      <c r="V175" s="219">
        <f>IFERROR((ENTRI!S174)," ")</f>
        <v>2023</v>
      </c>
      <c r="W175" s="219" t="str">
        <f t="shared" si="59"/>
        <v>17-07-2023</v>
      </c>
      <c r="X175" s="219">
        <f>IFERROR((ENTRI!T174)," ")</f>
        <v>2</v>
      </c>
      <c r="Y175" s="219">
        <f>IFERROR((ENTRI!U174)," ")</f>
        <v>2</v>
      </c>
      <c r="Z175" s="219">
        <f>IFERROR((ENTRI!V174)," ")</f>
        <v>2</v>
      </c>
      <c r="AA175" s="219">
        <f>IFERROR((ENTRI!W174)," ")</f>
        <v>2</v>
      </c>
      <c r="AB175" s="219" t="str">
        <f>IFERROR((ENTRI!X174)," ")</f>
        <v>SLTA</v>
      </c>
      <c r="AC175" s="219" t="str">
        <f>IFERROR((ENTRI!Y174)," ")</f>
        <v>IPS</v>
      </c>
      <c r="AD175" s="219">
        <f>IFERROR((ENTRI!Z174)," ")</f>
        <v>0</v>
      </c>
      <c r="AE175" s="219">
        <f>IFERROR((ENTRI!AA174)," ")</f>
        <v>0</v>
      </c>
      <c r="AF175" s="219">
        <f>IFERROR((ENTRI!AB174)," ")</f>
        <v>0</v>
      </c>
      <c r="AG175" s="219">
        <f>IFERROR((ENTRI!AC174)," ")</f>
        <v>0</v>
      </c>
      <c r="AH175" s="219">
        <f>IFERROR((ENTRI!AD174)," ")</f>
        <v>0</v>
      </c>
      <c r="AI175" s="219">
        <f>IFERROR((ENTRI!AE174)," ")</f>
        <v>0</v>
      </c>
      <c r="AJ175" s="219">
        <f>IFERROR((ENTRI!AF174)," ")</f>
        <v>0</v>
      </c>
      <c r="AK175" s="219">
        <f>IFERROR((ENTRI!AG174)," ")</f>
        <v>0</v>
      </c>
      <c r="AL175" s="219">
        <f>IFERROR((ENTRI!AH174)," ")</f>
        <v>0</v>
      </c>
      <c r="AM175" s="219">
        <f>IFERROR((ENTRI!AI174)," ")</f>
        <v>0</v>
      </c>
      <c r="AN175" s="219">
        <f>IFERROR((ENTRI!AJ174)," ")</f>
        <v>0</v>
      </c>
      <c r="AO175" s="219">
        <f>IFERROR((ENTRI!AK174)," ")</f>
        <v>0</v>
      </c>
      <c r="AP175" s="219">
        <f>IFERROR((ENTRI!AL174)," ")</f>
        <v>0</v>
      </c>
      <c r="AQ175" s="219">
        <f>IFERROR((ENTRI!AM174)," ")</f>
        <v>0</v>
      </c>
      <c r="AR175" s="216" t="str">
        <f>E175&amp;"."&amp;H175&amp;"."&amp;AW175&amp;"."&amp;ENTRI!$E$4</f>
        <v>04.02.168.2025</v>
      </c>
      <c r="AS175" t="str">
        <f>"YPP.QH/KP.01."&amp;E175&amp;"/"&amp;AW175&amp;"/"&amp;ENTRI!$E$4</f>
        <v>YPP.QH/KP.01.04/168/2025</v>
      </c>
      <c r="AW175" s="277" t="s">
        <v>1063</v>
      </c>
    </row>
    <row r="176">
      <c r="A176">
        <f t="shared" si="62"/>
        <v>155</v>
      </c>
      <c r="B176" s="276">
        <f t="shared" si="55"/>
        <v>2023</v>
      </c>
      <c r="C176" s="277">
        <v>169</v>
      </c>
      <c r="D176" s="219" t="str">
        <f>IFERROR(IF(ENTRI!B175=$AZ$9,$BA$9,IF(ENTRI!B175=$AZ$10,$BA$10,IF(ENTRI!B175=$AZ$11,$BA$11,IF(ENTRI!B175=$AZ$12,$BA$12,IF(ENTRI!B175=$AZ$13,$BA$13,IF(ENTRI!B175=$AZ$14,$BA$14,IF(ENTRI!B175=$AZ$15,$BA$15,IF(ENTRI!B175=$AZ$16,$BA$16,IF(ENTRI!B175=$AZ$17,$BA$17,IF(ENTRI!B175=$AZ$18,$BA$18," "))))))))))," ")</f>
        <v xml:space="preserve">SMK Qomarul Hidayah 2 Tugu</v>
      </c>
      <c r="E176" s="219" t="str">
        <f>IFERROR((ENTRI!C175)," ")</f>
        <v>07</v>
      </c>
      <c r="F176" s="219">
        <f t="shared" si="56"/>
        <v>155</v>
      </c>
      <c r="G176" s="219" t="str">
        <f>IFERROR((ENTRI!E175)," ")</f>
        <v xml:space="preserve">Tenaga Kependidikan</v>
      </c>
      <c r="H176" s="219" t="str">
        <f>IFERROR((ENTRI!F175)," ")</f>
        <v>02</v>
      </c>
      <c r="I176" s="219" t="str">
        <f>IFERROR((ENTRI!G175)," ")</f>
        <v xml:space="preserve">MUHAMMAD ULIN NUHA</v>
      </c>
      <c r="J176" s="219" t="str">
        <f>IFERROR((ENTRI!H175)," ")</f>
        <v xml:space="preserve">20050427  202307 07 02 17</v>
      </c>
      <c r="K176" s="219" t="str">
        <f>IFERROR((ENTRI!I175)," ")</f>
        <v>Tulungagung</v>
      </c>
      <c r="L176" s="219" t="str">
        <f>IFERROR((ENTRI!J175)," ")</f>
        <v>27</v>
      </c>
      <c r="M176" s="219" t="str">
        <f>IFERROR((ENTRI!K175)," ")</f>
        <v>04</v>
      </c>
      <c r="N176" s="219">
        <f>IFERROR((ENTRI!L175)," ")</f>
        <v>2005</v>
      </c>
      <c r="O176" s="219" t="str">
        <f t="shared" si="57"/>
        <v xml:space="preserve">Tulungagung, 27-04-2005</v>
      </c>
      <c r="P176" s="219" t="str">
        <f>IFERROR((ENTRI!N175)," ")</f>
        <v>17</v>
      </c>
      <c r="Q176" s="219" t="str">
        <f>IFERROR((ENTRI!O175)," ")</f>
        <v>07</v>
      </c>
      <c r="R176" s="219">
        <f>IFERROR((ENTRI!P175)," ")</f>
        <v>2023</v>
      </c>
      <c r="S176" s="219" t="str">
        <f t="shared" si="58"/>
        <v>17-07-2023</v>
      </c>
      <c r="T176" s="219" t="str">
        <f>IFERROR((ENTRI!Q175)," ")</f>
        <v>17</v>
      </c>
      <c r="U176" s="219" t="str">
        <f>IFERROR((ENTRI!R175)," ")</f>
        <v>07</v>
      </c>
      <c r="V176" s="219">
        <f>IFERROR((ENTRI!S175)," ")</f>
        <v>2023</v>
      </c>
      <c r="W176" s="219" t="str">
        <f t="shared" si="59"/>
        <v>17-07-2023</v>
      </c>
      <c r="X176" s="219">
        <f>IFERROR((ENTRI!T175)," ")</f>
        <v>2</v>
      </c>
      <c r="Y176" s="219">
        <f>IFERROR((ENTRI!U175)," ")</f>
        <v>2</v>
      </c>
      <c r="Z176" s="219">
        <f>IFERROR((ENTRI!V175)," ")</f>
        <v>2</v>
      </c>
      <c r="AA176" s="219">
        <f>IFERROR((ENTRI!W175)," ")</f>
        <v>2</v>
      </c>
      <c r="AB176" s="219" t="str">
        <f>IFERROR((ENTRI!X175)," ")</f>
        <v>SLTA</v>
      </c>
      <c r="AC176" s="219" t="str">
        <f>IFERROR((ENTRI!Y175)," ")</f>
        <v xml:space="preserve">Otomatisasi dan Tata Kelola Perkantoran</v>
      </c>
      <c r="AD176" s="219">
        <f>IFERROR((ENTRI!Z175)," ")</f>
        <v>0</v>
      </c>
      <c r="AE176" s="219">
        <f>IFERROR((ENTRI!AA175)," ")</f>
        <v>0</v>
      </c>
      <c r="AF176" s="219">
        <f>IFERROR((ENTRI!AB175)," ")</f>
        <v>0</v>
      </c>
      <c r="AG176" s="219">
        <f>IFERROR((ENTRI!AC175)," ")</f>
        <v>0</v>
      </c>
      <c r="AH176" s="219">
        <f>IFERROR((ENTRI!AD175)," ")</f>
        <v>0</v>
      </c>
      <c r="AI176" s="219">
        <f>IFERROR((ENTRI!AE175)," ")</f>
        <v>0</v>
      </c>
      <c r="AJ176" s="219">
        <f>IFERROR((ENTRI!AF175)," ")</f>
        <v>0</v>
      </c>
      <c r="AK176" s="219">
        <f>IFERROR((ENTRI!AG175)," ")</f>
        <v>0</v>
      </c>
      <c r="AL176" s="219">
        <f>IFERROR((ENTRI!AH175)," ")</f>
        <v>0</v>
      </c>
      <c r="AM176" s="219">
        <f>IFERROR((ENTRI!AI175)," ")</f>
        <v>0</v>
      </c>
      <c r="AN176" s="219">
        <f>IFERROR((ENTRI!AJ175)," ")</f>
        <v>0</v>
      </c>
      <c r="AO176" s="219">
        <f>IFERROR((ENTRI!AK175)," ")</f>
        <v>0</v>
      </c>
      <c r="AP176" s="219">
        <f>IFERROR((ENTRI!AL175)," ")</f>
        <v>0</v>
      </c>
      <c r="AQ176" s="219">
        <f>IFERROR((ENTRI!AM175)," ")</f>
        <v>0</v>
      </c>
      <c r="AR176" s="216" t="str">
        <f>E176&amp;"."&amp;H176&amp;"."&amp;AW176&amp;"."&amp;ENTRI!$E$4</f>
        <v>07.02.169.2025</v>
      </c>
      <c r="AS176" t="str">
        <f>"YPP.QH/KP.01."&amp;E176&amp;"/"&amp;AW176&amp;"/"&amp;ENTRI!$E$4</f>
        <v>YPP.QH/KP.01.07/169/2025</v>
      </c>
      <c r="AW176" s="277" t="s">
        <v>1064</v>
      </c>
    </row>
    <row r="177">
      <c r="A177">
        <f t="shared" si="62"/>
        <v>155</v>
      </c>
      <c r="B177" s="276">
        <f t="shared" si="55"/>
        <v>2023</v>
      </c>
      <c r="C177" s="277">
        <v>170</v>
      </c>
      <c r="D177" s="219" t="str">
        <f>IFERROR(IF(ENTRI!B176=$AZ$9,$BA$9,IF(ENTRI!B176=$AZ$10,$BA$10,IF(ENTRI!B176=$AZ$11,$BA$11,IF(ENTRI!B176=$AZ$12,$BA$12,IF(ENTRI!B176=$AZ$13,$BA$13,IF(ENTRI!B176=$AZ$14,$BA$14,IF(ENTRI!B176=$AZ$15,$BA$15,IF(ENTRI!B176=$AZ$16,$BA$16,IF(ENTRI!B176=$AZ$17,$BA$17,IF(ENTRI!B176=$AZ$18,$BA$18," "))))))))))," ")</f>
        <v xml:space="preserve">SMK Qomarul Hidayah 2 Tugu</v>
      </c>
      <c r="E177" s="219" t="str">
        <f>IFERROR((ENTRI!C176)," ")</f>
        <v>07</v>
      </c>
      <c r="F177" s="219">
        <f t="shared" si="56"/>
        <v>155</v>
      </c>
      <c r="G177" s="219" t="str">
        <f>IFERROR((ENTRI!E176)," ")</f>
        <v xml:space="preserve">Tenaga Kependidikan</v>
      </c>
      <c r="H177" s="219" t="str">
        <f>IFERROR((ENTRI!F176)," ")</f>
        <v>02</v>
      </c>
      <c r="I177" s="219" t="str">
        <f>IFERROR((ENTRI!G176)," ")</f>
        <v xml:space="preserve">DINI AF IDATUL KHASANAH </v>
      </c>
      <c r="J177" s="219" t="str">
        <f>IFERROR((ENTRI!H176)," ")</f>
        <v xml:space="preserve">20050129  202307 07 02 17</v>
      </c>
      <c r="K177" s="219" t="str">
        <f>IFERROR((ENTRI!I176)," ")</f>
        <v xml:space="preserve">Kumpul Mulyo</v>
      </c>
      <c r="L177" s="219" t="str">
        <f>IFERROR((ENTRI!J176)," ")</f>
        <v>29</v>
      </c>
      <c r="M177" s="219" t="str">
        <f>IFERROR((ENTRI!K176)," ")</f>
        <v>01</v>
      </c>
      <c r="N177" s="219">
        <f>IFERROR((ENTRI!L176)," ")</f>
        <v>2005</v>
      </c>
      <c r="O177" s="219" t="str">
        <f t="shared" si="57"/>
        <v xml:space="preserve">Kumpul Mulyo, 29-01-2005</v>
      </c>
      <c r="P177" s="219" t="str">
        <f>IFERROR((ENTRI!N176)," ")</f>
        <v>17</v>
      </c>
      <c r="Q177" s="219" t="str">
        <f>IFERROR((ENTRI!O176)," ")</f>
        <v>07</v>
      </c>
      <c r="R177" s="219">
        <f>IFERROR((ENTRI!P176)," ")</f>
        <v>2023</v>
      </c>
      <c r="S177" s="219" t="str">
        <f t="shared" si="58"/>
        <v>17-07-2023</v>
      </c>
      <c r="T177" s="219" t="str">
        <f>IFERROR((ENTRI!Q176)," ")</f>
        <v>17</v>
      </c>
      <c r="U177" s="219" t="str">
        <f>IFERROR((ENTRI!R176)," ")</f>
        <v>07</v>
      </c>
      <c r="V177" s="219">
        <f>IFERROR((ENTRI!S176)," ")</f>
        <v>2023</v>
      </c>
      <c r="W177" s="219" t="str">
        <f t="shared" si="59"/>
        <v>17-07-2023</v>
      </c>
      <c r="X177" s="219">
        <f>IFERROR((ENTRI!T176)," ")</f>
        <v>2</v>
      </c>
      <c r="Y177" s="219">
        <f>IFERROR((ENTRI!U176)," ")</f>
        <v>2</v>
      </c>
      <c r="Z177" s="219">
        <f>IFERROR((ENTRI!V176)," ")</f>
        <v>2</v>
      </c>
      <c r="AA177" s="219">
        <f>IFERROR((ENTRI!W176)," ")</f>
        <v>2</v>
      </c>
      <c r="AB177" s="219" t="str">
        <f>IFERROR((ENTRI!X176)," ")</f>
        <v>SLTA</v>
      </c>
      <c r="AC177" s="219" t="str">
        <f>IFERROR((ENTRI!Y176)," ")</f>
        <v xml:space="preserve">Otomatisasi dan Tata Kelola Perkantoran</v>
      </c>
      <c r="AD177" s="219">
        <f>IFERROR((ENTRI!Z176)," ")</f>
        <v>0</v>
      </c>
      <c r="AE177" s="219">
        <f>IFERROR((ENTRI!AA176)," ")</f>
        <v>0</v>
      </c>
      <c r="AF177" s="219">
        <f>IFERROR((ENTRI!AB176)," ")</f>
        <v>0</v>
      </c>
      <c r="AG177" s="219">
        <f>IFERROR((ENTRI!AC176)," ")</f>
        <v>0</v>
      </c>
      <c r="AH177" s="219">
        <f>IFERROR((ENTRI!AD176)," ")</f>
        <v>0</v>
      </c>
      <c r="AI177" s="219">
        <f>IFERROR((ENTRI!AE176)," ")</f>
        <v>0</v>
      </c>
      <c r="AJ177" s="219">
        <f>IFERROR((ENTRI!AF176)," ")</f>
        <v>0</v>
      </c>
      <c r="AK177" s="219">
        <f>IFERROR((ENTRI!AG176)," ")</f>
        <v>0</v>
      </c>
      <c r="AL177" s="219">
        <f>IFERROR((ENTRI!AH176)," ")</f>
        <v>0</v>
      </c>
      <c r="AM177" s="219">
        <f>IFERROR((ENTRI!AI176)," ")</f>
        <v>0</v>
      </c>
      <c r="AN177" s="219">
        <f>IFERROR((ENTRI!AJ176)," ")</f>
        <v>0</v>
      </c>
      <c r="AO177" s="219">
        <f>IFERROR((ENTRI!AK176)," ")</f>
        <v>0</v>
      </c>
      <c r="AP177" s="219">
        <f>IFERROR((ENTRI!AL176)," ")</f>
        <v>0</v>
      </c>
      <c r="AQ177" s="219">
        <f>IFERROR((ENTRI!AM176)," ")</f>
        <v>0</v>
      </c>
      <c r="AR177" s="216" t="str">
        <f>E177&amp;"."&amp;H177&amp;"."&amp;AW177&amp;"."&amp;ENTRI!$E$4</f>
        <v>07.02.170.2025</v>
      </c>
      <c r="AS177" t="str">
        <f>"YPP.QH/KP.01."&amp;E177&amp;"/"&amp;AW177&amp;"/"&amp;ENTRI!$E$4</f>
        <v>YPP.QH/KP.01.07/170/2025</v>
      </c>
      <c r="AW177" s="277" t="s">
        <v>1065</v>
      </c>
    </row>
    <row r="178">
      <c r="A178">
        <f>IF(B178=0," ",RANK(B178,$B$8:$B$180,1))</f>
        <v>171</v>
      </c>
      <c r="B178" s="276">
        <f t="shared" si="55"/>
        <v>2025</v>
      </c>
      <c r="C178" s="277">
        <v>171</v>
      </c>
      <c r="D178" s="219" t="str">
        <f>IFERROR(IF(ENTRI!B177=$AZ$9,$BA$9,IF(ENTRI!B177=$AZ$10,$BA$10,IF(ENTRI!B177=$AZ$11,$BA$11,IF(ENTRI!B177=$AZ$12,$BA$12,IF(ENTRI!B177=$AZ$13,$BA$13,IF(ENTRI!B177=$AZ$14,$BA$14,IF(ENTRI!B177=$AZ$15,$BA$15,IF(ENTRI!B177=$AZ$16,$BA$16,IF(ENTRI!B177=$AZ$17,$BA$17,IF(ENTRI!B177=$AZ$18,$BA$18," "))))))))))," ")</f>
        <v xml:space="preserve">SMK Qomarul Hidayah 2 Tugu</v>
      </c>
      <c r="E178" s="219" t="str">
        <f>IFERROR((ENTRI!C177)," ")</f>
        <v>07</v>
      </c>
      <c r="F178" s="219">
        <f t="shared" si="56"/>
        <v>171</v>
      </c>
      <c r="G178" s="219" t="str">
        <f>IFERROR((ENTRI!E177)," ")</f>
        <v>Guru</v>
      </c>
      <c r="H178" s="219" t="str">
        <f>IFERROR((ENTRI!F177)," ")</f>
        <v>01</v>
      </c>
      <c r="I178" s="219" t="str">
        <f>IFERROR((ENTRI!G177)," ")</f>
        <v xml:space="preserve">MUALIFATUL HIDAYAH, S.Pd.</v>
      </c>
      <c r="J178" s="219" t="str">
        <f>IFERROR((ENTRI!H177)," ")</f>
        <v xml:space="preserve">19950605  202507 07 01 14</v>
      </c>
      <c r="K178" s="219" t="str">
        <f>IFERROR((ENTRI!I177)," ")</f>
        <v>Trenggalek</v>
      </c>
      <c r="L178" s="219" t="str">
        <f>IFERROR((ENTRI!J177)," ")</f>
        <v>05</v>
      </c>
      <c r="M178" s="219" t="str">
        <f>IFERROR((ENTRI!K177)," ")</f>
        <v>06</v>
      </c>
      <c r="N178" s="219">
        <f>IFERROR((ENTRI!L177)," ")</f>
        <v>1995</v>
      </c>
      <c r="O178" s="219" t="str">
        <f t="shared" si="57"/>
        <v xml:space="preserve">Trenggalek, 05-06-1995</v>
      </c>
      <c r="P178" s="219" t="str">
        <f>IFERROR((ENTRI!N177)," ")</f>
        <v>14</v>
      </c>
      <c r="Q178" s="219" t="str">
        <f>IFERROR((ENTRI!O177)," ")</f>
        <v>07</v>
      </c>
      <c r="R178" s="219">
        <f>IFERROR((ENTRI!P177)," ")</f>
        <v>2025</v>
      </c>
      <c r="S178" s="219" t="str">
        <f t="shared" si="58"/>
        <v>14-07-2025</v>
      </c>
      <c r="T178" s="219" t="str">
        <f>IFERROR((ENTRI!Q177)," ")</f>
        <v>14</v>
      </c>
      <c r="U178" s="219" t="str">
        <f>IFERROR((ENTRI!R177)," ")</f>
        <v>07</v>
      </c>
      <c r="V178" s="219">
        <f>IFERROR((ENTRI!S177)," ")</f>
        <v>2025</v>
      </c>
      <c r="W178" s="219" t="str">
        <f t="shared" si="59"/>
        <v>14-07-2025</v>
      </c>
      <c r="X178" s="219">
        <f>IFERROR((ENTRI!T177)," ")</f>
        <v>0</v>
      </c>
      <c r="Y178" s="219">
        <f>IFERROR((ENTRI!U177)," ")</f>
        <v>0</v>
      </c>
      <c r="Z178" s="219">
        <f>IFERROR((ENTRI!V177)," ")</f>
        <v>0</v>
      </c>
      <c r="AA178" s="219">
        <f>IFERROR((ENTRI!W177)," ")</f>
        <v>0</v>
      </c>
      <c r="AB178" s="219" t="str">
        <f>IFERROR((ENTRI!X177)," ")</f>
        <v>S1</v>
      </c>
      <c r="AC178" s="219" t="str">
        <f>IFERROR((ENTRI!Y177)," ")</f>
        <v xml:space="preserve">PENDIDIKAN AGAMA ISLAM</v>
      </c>
      <c r="AD178" s="219">
        <f>IFERROR((ENTRI!Z177)," ")</f>
        <v>0</v>
      </c>
      <c r="AE178" s="219">
        <f>IFERROR((ENTRI!AA177)," ")</f>
        <v>0</v>
      </c>
      <c r="AF178" s="219">
        <f>IFERROR((ENTRI!AB177)," ")</f>
        <v>0</v>
      </c>
      <c r="AG178" s="219">
        <f>IFERROR((ENTRI!AC177)," ")</f>
        <v>0</v>
      </c>
      <c r="AH178" s="219">
        <f>IFERROR((ENTRI!AD177)," ")</f>
        <v>0</v>
      </c>
      <c r="AI178" s="219">
        <f>IFERROR((ENTRI!AE177)," ")</f>
        <v>0</v>
      </c>
      <c r="AJ178" s="219">
        <f>IFERROR((ENTRI!AF177)," ")</f>
        <v>0</v>
      </c>
      <c r="AK178" s="219">
        <f>IFERROR((ENTRI!AG177)," ")</f>
        <v>0</v>
      </c>
      <c r="AL178" s="219">
        <f>IFERROR((ENTRI!AH177)," ")</f>
        <v>0</v>
      </c>
      <c r="AM178" s="219">
        <f>IFERROR((ENTRI!AI177)," ")</f>
        <v>0</v>
      </c>
      <c r="AN178" s="219">
        <f>IFERROR((ENTRI!AJ177)," ")</f>
        <v>0</v>
      </c>
      <c r="AO178" s="219">
        <f>IFERROR((ENTRI!AK177)," ")</f>
        <v>0</v>
      </c>
      <c r="AP178" s="219">
        <f>IFERROR((ENTRI!AL177)," ")</f>
        <v>0</v>
      </c>
      <c r="AQ178" s="219">
        <f>IFERROR((ENTRI!AM177)," ")</f>
        <v>0</v>
      </c>
      <c r="AR178" s="216" t="str">
        <f>E178&amp;"."&amp;H178&amp;"."&amp;AW178&amp;"."&amp;ENTRI!$E$4</f>
        <v>07.01.171.2025</v>
      </c>
      <c r="AS178" t="str">
        <f>"YPP.QH/KP.01."&amp;E178&amp;"/"&amp;AW178&amp;"/"&amp;ENTRI!$E$4</f>
        <v>YPP.QH/KP.01.07/171/2025</v>
      </c>
      <c r="AW178" s="277" t="s">
        <v>1066</v>
      </c>
    </row>
    <row r="179">
      <c r="A179" t="str">
        <f t="shared" ref="A179:A181" si="63">IF(B179=0," ",RANK(B179,$B$8:$B$178,1))</f>
        <v xml:space="preserve"> </v>
      </c>
      <c r="B179" s="276">
        <f t="shared" si="55"/>
        <v>0</v>
      </c>
      <c r="C179" s="277">
        <v>172</v>
      </c>
      <c r="D179" s="219">
        <f>IFERROR(IF(ENTRI!B178=$AZ$9,$BA$9,IF(ENTRI!B178=$AZ$10,$BA$10,IF(ENTRI!B178=$AZ$11,$BA$11,IF(ENTRI!B178=$AZ$12,$BA$12,IF(ENTRI!B178=$AZ$13,$BA$13,IF(ENTRI!B178=$AZ$14,$BA$14,IF(ENTRI!B178=$AZ$15,$BA$15,IF(ENTRI!B178=$AZ$16,$BA$16,IF(ENTRI!B178=$AZ$17,$BA$17,IF(ENTRI!B178=$AZ$18,$BA$18," "))))))))))," ")</f>
        <v>0</v>
      </c>
      <c r="E179" s="219">
        <f>IFERROR((ENTRI!C178)," ")</f>
        <v>0</v>
      </c>
      <c r="F179" s="219" t="str">
        <f t="shared" si="56"/>
        <v xml:space="preserve"> </v>
      </c>
      <c r="G179" s="219">
        <f>IFERROR((ENTRI!E178)," ")</f>
        <v>0</v>
      </c>
      <c r="H179" s="219">
        <f>IFERROR((ENTRI!F178)," ")</f>
        <v>0</v>
      </c>
      <c r="I179" s="219" t="str">
        <f>IFERROR((ENTRI!G146)," ")</f>
        <v xml:space="preserve">INKA AYU KHOIRUN NISA, S.Pd</v>
      </c>
      <c r="J179" s="219">
        <f>IFERROR((ENTRI!H178)," ")</f>
        <v>0</v>
      </c>
      <c r="K179" s="219">
        <f>IFERROR((ENTRI!I178)," ")</f>
        <v>0</v>
      </c>
      <c r="L179" s="219">
        <f>IFERROR((ENTRI!J178)," ")</f>
        <v>0</v>
      </c>
      <c r="M179" s="219">
        <f>IFERROR((ENTRI!K178)," ")</f>
        <v>0</v>
      </c>
      <c r="N179" s="219">
        <f>IFERROR((ENTRI!L178)," ")</f>
        <v>0</v>
      </c>
      <c r="O179" s="219" t="str">
        <f t="shared" si="57"/>
        <v xml:space="preserve">0, 0-0-0</v>
      </c>
      <c r="P179" s="219">
        <f>IFERROR((ENTRI!N178)," ")</f>
        <v>0</v>
      </c>
      <c r="Q179" s="219">
        <f>IFERROR((ENTRI!O178)," ")</f>
        <v>0</v>
      </c>
      <c r="R179" s="219">
        <f>IFERROR((ENTRI!P178)," ")</f>
        <v>0</v>
      </c>
      <c r="S179" s="219" t="str">
        <f t="shared" si="58"/>
        <v>0-0-0</v>
      </c>
      <c r="T179" s="219">
        <f>IFERROR((ENTRI!Q178)," ")</f>
        <v>0</v>
      </c>
      <c r="U179" s="219">
        <f>IFERROR((ENTRI!R178)," ")</f>
        <v>0</v>
      </c>
      <c r="V179" s="219">
        <f>IFERROR((ENTRI!S178)," ")</f>
        <v>0</v>
      </c>
      <c r="W179" s="219" t="str">
        <f t="shared" si="59"/>
        <v>0-0-0</v>
      </c>
      <c r="X179" s="219">
        <f>IFERROR((ENTRI!T178)," ")</f>
        <v>0</v>
      </c>
      <c r="Y179" s="219">
        <f>IFERROR((ENTRI!U178)," ")</f>
        <v>0</v>
      </c>
      <c r="Z179" s="219">
        <f>IFERROR((ENTRI!V178)," ")</f>
        <v>0</v>
      </c>
      <c r="AA179" s="219">
        <f>IFERROR((ENTRI!W178)," ")</f>
        <v>0</v>
      </c>
      <c r="AB179" s="219">
        <f>IFERROR((ENTRI!X178)," ")</f>
        <v>0</v>
      </c>
      <c r="AC179" s="219" t="str">
        <f>IFERROR((ENTRI!Y146)," ")</f>
        <v xml:space="preserve">PENDIDIKAN BAHASA DAN SASTRA INDONESIA</v>
      </c>
      <c r="AD179" s="219">
        <f>IFERROR((ENTRI!Z178)," ")</f>
        <v>0</v>
      </c>
      <c r="AE179" s="219">
        <f>IFERROR((ENTRI!AA178)," ")</f>
        <v>0</v>
      </c>
      <c r="AF179" s="219">
        <f>IFERROR((ENTRI!AB178)," ")</f>
        <v>0</v>
      </c>
      <c r="AG179" s="219">
        <f>IFERROR((ENTRI!AC178)," ")</f>
        <v>0</v>
      </c>
      <c r="AH179" s="219">
        <f>IFERROR((ENTRI!AD178)," ")</f>
        <v>0</v>
      </c>
      <c r="AI179" s="219">
        <f>IFERROR((ENTRI!AE178)," ")</f>
        <v>0</v>
      </c>
      <c r="AJ179" s="219">
        <f>IFERROR((ENTRI!AF178)," ")</f>
        <v>0</v>
      </c>
      <c r="AK179" s="219">
        <f>IFERROR((ENTRI!AG178)," ")</f>
        <v>0</v>
      </c>
      <c r="AL179" s="219">
        <f>IFERROR((ENTRI!AH178)," ")</f>
        <v>0</v>
      </c>
      <c r="AM179" s="219">
        <f>IFERROR((ENTRI!AI178)," ")</f>
        <v>0</v>
      </c>
      <c r="AN179" s="219">
        <f>IFERROR((ENTRI!AJ178)," ")</f>
        <v>0</v>
      </c>
      <c r="AO179" s="219">
        <f>IFERROR((ENTRI!AK178)," ")</f>
        <v>0</v>
      </c>
      <c r="AP179" s="219">
        <f>IFERROR((ENTRI!AL178)," ")</f>
        <v>0</v>
      </c>
      <c r="AQ179" s="219">
        <f>IFERROR((ENTRI!AM178)," ")</f>
        <v>0</v>
      </c>
      <c r="AR179" s="216" t="str">
        <f>E179&amp;"."&amp;H179&amp;"."&amp;AW179&amp;"."&amp;ENTRI!$E$4</f>
        <v>0.0.172.2025</v>
      </c>
      <c r="AS179" t="str">
        <f>"YPP.QH/KP.01."&amp;E179&amp;"/"&amp;AW179&amp;"/"&amp;ENTRI!$E$4</f>
        <v>YPP.QH/KP.01.0/172/2025</v>
      </c>
      <c r="AW179" s="277" t="s">
        <v>1067</v>
      </c>
    </row>
    <row r="180">
      <c r="A180" t="str">
        <f t="shared" si="63"/>
        <v xml:space="preserve"> </v>
      </c>
      <c r="B180" s="276">
        <f t="shared" si="55"/>
        <v>0</v>
      </c>
      <c r="C180" s="277">
        <v>173</v>
      </c>
      <c r="D180" s="219">
        <f>IFERROR(IF(ENTRI!B179=$AZ$9,$BA$9,IF(ENTRI!B179=$AZ$10,$BA$10,IF(ENTRI!B179=$AZ$11,$BA$11,IF(ENTRI!B179=$AZ$12,$BA$12,IF(ENTRI!B179=$AZ$13,$BA$13,IF(ENTRI!B179=$AZ$14,$BA$14,IF(ENTRI!B179=$AZ$15,$BA$15,IF(ENTRI!B179=$AZ$16,$BA$16,IF(ENTRI!B179=$AZ$17,$BA$17,IF(ENTRI!B179=$AZ$18,$BA$18," "))))))))))," ")</f>
        <v>0</v>
      </c>
      <c r="E180" s="219" t="str">
        <f>IFERROR((ENTRI!C179)," ")</f>
        <v xml:space="preserve"> </v>
      </c>
      <c r="F180" s="219" t="str">
        <f t="shared" si="56"/>
        <v xml:space="preserve"> </v>
      </c>
      <c r="G180" s="219" t="str">
        <f>IFERROR((ENTRI!E179)," ")</f>
        <v>Guru</v>
      </c>
      <c r="H180" s="219" t="str">
        <f>IFERROR((ENTRI!F179)," ")</f>
        <v>01</v>
      </c>
      <c r="I180" s="219">
        <f>IFERROR((ENTRI!G179)," ")</f>
        <v>0</v>
      </c>
      <c r="J180" s="219" t="str">
        <f>IFERROR((ENTRI!H179)," ")</f>
        <v xml:space="preserve">     01 </v>
      </c>
      <c r="K180" s="219">
        <f>IFERROR((ENTRI!I179)," ")</f>
        <v>0</v>
      </c>
      <c r="L180" s="219">
        <f>IFERROR((ENTRI!J179)," ")</f>
        <v>0</v>
      </c>
      <c r="M180" s="219">
        <f>IFERROR((ENTRI!K179)," ")</f>
        <v>0</v>
      </c>
      <c r="N180" s="219">
        <f>IFERROR((ENTRI!L179)," ")</f>
        <v>0</v>
      </c>
      <c r="O180" s="219" t="str">
        <f t="shared" si="57"/>
        <v xml:space="preserve">0, 0-0-0</v>
      </c>
      <c r="P180" s="219">
        <f>IFERROR((ENTRI!N179)," ")</f>
        <v>0</v>
      </c>
      <c r="Q180" s="219">
        <f>IFERROR((ENTRI!O179)," ")</f>
        <v>0</v>
      </c>
      <c r="R180" s="219">
        <f>IFERROR((ENTRI!P179)," ")</f>
        <v>0</v>
      </c>
      <c r="S180" s="219" t="str">
        <f t="shared" si="58"/>
        <v>0-0-0</v>
      </c>
      <c r="T180" s="219">
        <f>IFERROR((ENTRI!Q179)," ")</f>
        <v>0</v>
      </c>
      <c r="U180" s="219">
        <f>IFERROR((ENTRI!R179)," ")</f>
        <v>0</v>
      </c>
      <c r="V180" s="219">
        <f>IFERROR((ENTRI!S179)," ")</f>
        <v>0</v>
      </c>
      <c r="W180" s="219" t="str">
        <f t="shared" si="59"/>
        <v>0-0-0</v>
      </c>
      <c r="X180" s="219">
        <f>IFERROR((ENTRI!T179)," ")</f>
        <v>2025</v>
      </c>
      <c r="Y180" s="219">
        <f>IFERROR((ENTRI!U179)," ")</f>
        <v>2025</v>
      </c>
      <c r="Z180" s="219" t="str">
        <f>IFERROR((ENTRI!V179)," ")</f>
        <v xml:space="preserve"> </v>
      </c>
      <c r="AA180" s="219" t="str">
        <f>IFERROR((ENTRI!W179)," ")</f>
        <v xml:space="preserve"> </v>
      </c>
      <c r="AB180" s="219">
        <f>IFERROR((ENTRI!X179)," ")</f>
        <v>0</v>
      </c>
      <c r="AC180" s="219">
        <f>IFERROR((ENTRI!Y179)," ")</f>
        <v>0</v>
      </c>
      <c r="AD180" s="219">
        <f>IFERROR((ENTRI!Z179)," ")</f>
        <v>0</v>
      </c>
      <c r="AE180" s="219">
        <f>IFERROR((ENTRI!AA179)," ")</f>
        <v>0</v>
      </c>
      <c r="AF180" s="219">
        <f>IFERROR((ENTRI!AB179)," ")</f>
        <v>0</v>
      </c>
      <c r="AG180" s="219">
        <f>IFERROR((ENTRI!AC179)," ")</f>
        <v>0</v>
      </c>
      <c r="AH180" s="219">
        <f>IFERROR((ENTRI!AD179)," ")</f>
        <v>0</v>
      </c>
      <c r="AI180" s="219">
        <f>IFERROR((ENTRI!AE179)," ")</f>
        <v>0</v>
      </c>
      <c r="AJ180" s="219">
        <f>IFERROR((ENTRI!AF179)," ")</f>
        <v>0</v>
      </c>
      <c r="AK180" s="219">
        <f>IFERROR((ENTRI!AG179)," ")</f>
        <v>0</v>
      </c>
      <c r="AL180" s="219">
        <f>IFERROR((ENTRI!AH179)," ")</f>
        <v>0</v>
      </c>
      <c r="AM180" s="219">
        <f>IFERROR((ENTRI!AI179)," ")</f>
        <v>0</v>
      </c>
      <c r="AN180" s="219">
        <f>IFERROR((ENTRI!AJ179)," ")</f>
        <v>0</v>
      </c>
      <c r="AO180" s="219">
        <f>IFERROR((ENTRI!AK179)," ")</f>
        <v>0</v>
      </c>
      <c r="AP180" s="219">
        <f>IFERROR((ENTRI!AL179)," ")</f>
        <v>0</v>
      </c>
      <c r="AQ180" s="219">
        <f>IFERROR((ENTRI!AM179)," ")</f>
        <v>0</v>
      </c>
      <c r="AR180" s="216" t="str">
        <f>E180&amp;"."&amp;H180&amp;"."&amp;AW180&amp;"."&amp;ENTRI!$E$4</f>
        <v xml:space="preserve"> .01.173.2025</v>
      </c>
      <c r="AS180" t="str">
        <f>"YPP.QH/KP.01."&amp;E180&amp;"/"&amp;AW180&amp;"/"&amp;ENTRI!$E$4</f>
        <v xml:space="preserve">YPP.QH/KP.01. /173/2025</v>
      </c>
      <c r="AW180" s="277" t="s">
        <v>1068</v>
      </c>
    </row>
    <row r="181">
      <c r="A181" t="str">
        <f t="shared" si="63"/>
        <v xml:space="preserve"> </v>
      </c>
      <c r="B181" s="276">
        <f t="shared" si="55"/>
        <v>0</v>
      </c>
      <c r="C181" s="277">
        <v>174</v>
      </c>
      <c r="D181" s="219">
        <f>IFERROR(IF(ENTRI!B180=$AZ$9,$BA$9,IF(ENTRI!B180=$AZ$10,$BA$10,IF(ENTRI!B180=$AZ$11,$BA$11,IF(ENTRI!B180=$AZ$12,$BA$12,IF(ENTRI!B180=$AZ$13,$BA$13,IF(ENTRI!B180=$AZ$14,$BA$14,IF(ENTRI!B180=$AZ$15,$BA$15,IF(ENTRI!B180=$AZ$16,$BA$16,IF(ENTRI!B180=$AZ$17,$BA$17,IF(ENTRI!B180=$AZ$18,$BA$18," "))))))))))," ")</f>
        <v>0</v>
      </c>
      <c r="E181" s="219" t="str">
        <f>IFERROR((ENTRI!C180)," ")</f>
        <v xml:space="preserve"> </v>
      </c>
      <c r="F181" s="219" t="str">
        <f t="shared" si="56"/>
        <v xml:space="preserve"> </v>
      </c>
      <c r="G181" s="219" t="str">
        <f>IFERROR((ENTRI!E180)," ")</f>
        <v>Guru</v>
      </c>
      <c r="H181" s="219" t="str">
        <f>IFERROR((ENTRI!F180)," ")</f>
        <v>01</v>
      </c>
      <c r="I181" s="219">
        <f>IFERROR((ENTRI!G180)," ")</f>
        <v>0</v>
      </c>
      <c r="J181" s="219" t="str">
        <f>IFERROR((ENTRI!H180)," ")</f>
        <v xml:space="preserve">     01 </v>
      </c>
      <c r="K181" s="219">
        <f>IFERROR((ENTRI!I180)," ")</f>
        <v>0</v>
      </c>
      <c r="L181" s="219">
        <f>IFERROR((ENTRI!J180)," ")</f>
        <v>0</v>
      </c>
      <c r="M181" s="219">
        <f>IFERROR((ENTRI!K180)," ")</f>
        <v>0</v>
      </c>
      <c r="N181" s="219">
        <f>IFERROR((ENTRI!L180)," ")</f>
        <v>0</v>
      </c>
      <c r="O181" s="219" t="str">
        <f t="shared" si="57"/>
        <v xml:space="preserve">0, 0-0-0</v>
      </c>
      <c r="P181" s="219">
        <f>IFERROR((ENTRI!N180)," ")</f>
        <v>0</v>
      </c>
      <c r="Q181" s="219">
        <f>IFERROR((ENTRI!O180)," ")</f>
        <v>0</v>
      </c>
      <c r="R181" s="219">
        <f>IFERROR((ENTRI!P180)," ")</f>
        <v>0</v>
      </c>
      <c r="S181" s="219" t="str">
        <f t="shared" si="58"/>
        <v>0-0-0</v>
      </c>
      <c r="T181" s="219">
        <f>IFERROR((ENTRI!Q180)," ")</f>
        <v>0</v>
      </c>
      <c r="U181" s="219">
        <f>IFERROR((ENTRI!R180)," ")</f>
        <v>0</v>
      </c>
      <c r="V181" s="219">
        <f>IFERROR((ENTRI!S180)," ")</f>
        <v>0</v>
      </c>
      <c r="W181" s="219" t="str">
        <f t="shared" si="59"/>
        <v>0-0-0</v>
      </c>
      <c r="X181" s="219">
        <f>IFERROR((ENTRI!T180)," ")</f>
        <v>2025</v>
      </c>
      <c r="Y181" s="219">
        <f>IFERROR((ENTRI!U180)," ")</f>
        <v>2025</v>
      </c>
      <c r="Z181" s="219" t="str">
        <f>IFERROR((ENTRI!V180)," ")</f>
        <v xml:space="preserve"> </v>
      </c>
      <c r="AA181" s="219" t="str">
        <f>IFERROR((ENTRI!W180)," ")</f>
        <v xml:space="preserve"> </v>
      </c>
      <c r="AB181" s="219">
        <f>IFERROR((ENTRI!X180)," ")</f>
        <v>0</v>
      </c>
      <c r="AC181" s="219">
        <f>IFERROR((ENTRI!Y180)," ")</f>
        <v>0</v>
      </c>
      <c r="AD181" s="219">
        <f>IFERROR((ENTRI!Z180)," ")</f>
        <v>0</v>
      </c>
      <c r="AE181" s="219">
        <f>IFERROR((ENTRI!AA180)," ")</f>
        <v>0</v>
      </c>
      <c r="AF181" s="219">
        <f>IFERROR((ENTRI!AB180)," ")</f>
        <v>0</v>
      </c>
      <c r="AG181" s="219">
        <f>IFERROR((ENTRI!AC180)," ")</f>
        <v>0</v>
      </c>
      <c r="AH181" s="219">
        <f>IFERROR((ENTRI!AD180)," ")</f>
        <v>0</v>
      </c>
      <c r="AI181" s="219">
        <f>IFERROR((ENTRI!AE180)," ")</f>
        <v>0</v>
      </c>
      <c r="AJ181" s="219">
        <f>IFERROR((ENTRI!AF180)," ")</f>
        <v>0</v>
      </c>
      <c r="AK181" s="219">
        <f>IFERROR((ENTRI!AG180)," ")</f>
        <v>0</v>
      </c>
      <c r="AL181" s="219">
        <f>IFERROR((ENTRI!AH180)," ")</f>
        <v>0</v>
      </c>
      <c r="AM181" s="219">
        <f>IFERROR((ENTRI!AI180)," ")</f>
        <v>0</v>
      </c>
      <c r="AN181" s="219">
        <f>IFERROR((ENTRI!AJ180)," ")</f>
        <v>0</v>
      </c>
      <c r="AO181" s="219">
        <f>IFERROR((ENTRI!AK180)," ")</f>
        <v>0</v>
      </c>
      <c r="AP181" s="219">
        <f>IFERROR((ENTRI!AL180)," ")</f>
        <v>0</v>
      </c>
      <c r="AQ181" s="219">
        <f>IFERROR((ENTRI!AM180)," ")</f>
        <v>0</v>
      </c>
      <c r="AR181" s="216" t="str">
        <f>E181&amp;"."&amp;H181&amp;"."&amp;AW181&amp;"."&amp;ENTRI!$E$4</f>
        <v xml:space="preserve"> .01.174.2025</v>
      </c>
      <c r="AS181" t="str">
        <f>"YPP.QH/KP.01."&amp;E181&amp;"/"&amp;AW181&amp;"/"&amp;ENTRI!$E$4</f>
        <v xml:space="preserve">YPP.QH/KP.01. /174/2025</v>
      </c>
      <c r="AW181" s="277" t="s">
        <v>1069</v>
      </c>
    </row>
  </sheetData>
  <sheetProtection autoFilter="1" deleteColumns="1" deleteRows="1" formatCells="1" formatColumns="1" formatRows="1" insertColumns="1" insertHyperlinks="1" insertRows="1" pivotTables="1" selectLockedCells="1" selectUnlockedCells="0" sheet="0" sort="1"/>
  <mergeCells count="22">
    <mergeCell ref="AS5:AS7"/>
    <mergeCell ref="I5:I7"/>
    <mergeCell ref="J5:J7"/>
    <mergeCell ref="K5:N6"/>
    <mergeCell ref="P5:V5"/>
    <mergeCell ref="Z5:AA5"/>
    <mergeCell ref="AB5:AD6"/>
    <mergeCell ref="P6:R6"/>
    <mergeCell ref="T6:V6"/>
    <mergeCell ref="Z6:Z7"/>
    <mergeCell ref="AA6:AA7"/>
    <mergeCell ref="AE5:AH6"/>
    <mergeCell ref="AI5:AM6"/>
    <mergeCell ref="AN5:AP6"/>
    <mergeCell ref="AQ5:AQ7"/>
    <mergeCell ref="AR5:AR7"/>
    <mergeCell ref="H5:H7"/>
    <mergeCell ref="C5:C7"/>
    <mergeCell ref="D5:D7"/>
    <mergeCell ref="E5:E7"/>
    <mergeCell ref="F5:F7"/>
    <mergeCell ref="G5:G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5">
    <outlinePr applyStyles="0" summaryBelow="1" summaryRight="1" showOutlineSymbols="1"/>
    <pageSetUpPr autoPageBreaks="1" fitToPage="0"/>
  </sheetPr>
  <sheetViews>
    <sheetView showGridLines="0" showRowColHeaders="0" topLeftCell="A26" zoomScale="100" workbookViewId="0">
      <selection activeCell="A39" activeCellId="0" sqref="A39"/>
    </sheetView>
  </sheetViews>
  <sheetFormatPr defaultColWidth="0" defaultRowHeight="15" customHeight="1" zeroHeight="1"/>
  <cols>
    <col customWidth="1" min="1" max="1" style="1" width="17.7265625"/>
    <col customWidth="1" min="2" max="2" style="1" width="4"/>
    <col customWidth="1" min="3" max="5" style="1" width="9.1796875"/>
    <col customWidth="1" min="6" max="6" style="1" width="3.81640625"/>
    <col customWidth="1" min="7" max="8" style="1" width="9.1796875"/>
    <col customWidth="1" min="9" max="9" style="222" width="6.7265625"/>
    <col customWidth="1" min="10" max="10" style="222" width="3.26953125"/>
    <col customWidth="1" min="11" max="11" style="222" width="9.54296875"/>
    <col customWidth="1" min="12" max="12" style="222" width="5.26953125"/>
    <col customWidth="1" min="13" max="13" style="222" width="20.7265625"/>
    <col customWidth="1" min="14" max="14" style="223" width="5.1796875"/>
    <col customWidth="1" min="15" max="18" style="223" width="9.1796875"/>
    <col hidden="1" min="19" max="16384" style="222" width="9.1796875"/>
  </cols>
  <sheetData>
    <row r="1" ht="26.25">
      <c r="A1" s="1" t="s">
        <v>640</v>
      </c>
      <c r="C1" s="278" t="s">
        <v>1070</v>
      </c>
      <c r="D1" s="278"/>
      <c r="E1" s="278"/>
      <c r="F1" s="278"/>
      <c r="G1" s="278"/>
      <c r="H1" s="278"/>
      <c r="I1" s="278"/>
      <c r="J1" s="278"/>
      <c r="K1" s="278"/>
      <c r="L1" s="278"/>
      <c r="M1" s="278"/>
      <c r="O1" s="279" t="s">
        <v>1071</v>
      </c>
      <c r="P1" s="279"/>
      <c r="Q1" s="279"/>
      <c r="R1" s="279"/>
    </row>
    <row r="2" ht="26.25" customHeight="1">
      <c r="C2" s="280" t="s">
        <v>2</v>
      </c>
      <c r="D2" s="280"/>
      <c r="E2" s="280"/>
      <c r="F2" s="280"/>
      <c r="G2" s="280"/>
      <c r="H2" s="280"/>
      <c r="I2" s="280"/>
      <c r="J2" s="280"/>
      <c r="K2" s="280"/>
      <c r="L2" s="280"/>
      <c r="M2" s="280"/>
      <c r="O2" s="279"/>
      <c r="P2" s="279"/>
      <c r="Q2" s="279"/>
      <c r="R2" s="279"/>
    </row>
    <row r="3" ht="16.5">
      <c r="C3" s="281" t="s">
        <v>1072</v>
      </c>
      <c r="D3" s="281"/>
      <c r="E3" s="281"/>
      <c r="F3" s="281"/>
      <c r="G3" s="281"/>
      <c r="H3" s="281"/>
      <c r="I3" s="281"/>
      <c r="J3" s="281"/>
      <c r="K3" s="281"/>
      <c r="L3" s="281"/>
      <c r="M3" s="281"/>
      <c r="O3" s="282">
        <v>113</v>
      </c>
      <c r="P3" s="283"/>
      <c r="Q3" s="283"/>
    </row>
    <row r="4" ht="14.5"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</row>
    <row r="5" ht="9" customHeight="1">
      <c r="A5" s="229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</row>
    <row r="6" ht="14.5">
      <c r="A6" s="285"/>
    </row>
    <row r="7" ht="15.75">
      <c r="A7" s="286" t="s">
        <v>1073</v>
      </c>
      <c r="B7" s="28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</row>
    <row r="8" ht="15.75">
      <c r="A8" s="286" t="s">
        <v>1070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T8" s="287"/>
    </row>
    <row r="9" ht="15.75">
      <c r="A9" s="286" t="s">
        <v>1074</v>
      </c>
      <c r="B9" s="286"/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</row>
    <row r="10" ht="17.25">
      <c r="A10" s="288"/>
      <c r="B10" s="288"/>
      <c r="C10" s="288"/>
      <c r="D10" s="288"/>
      <c r="E10" s="289" t="s">
        <v>1075</v>
      </c>
      <c r="F10" s="290" t="str">
        <f>IFERROR(VLOOKUP($O$3,REKAP!$C$8:$AS$180,43,FALSE)," ")</f>
        <v>YPP.QH/KP.01.06/113/2025</v>
      </c>
      <c r="G10" s="290"/>
      <c r="H10" s="290"/>
      <c r="I10" s="290"/>
      <c r="J10" s="290"/>
      <c r="K10" s="290"/>
      <c r="L10" s="290"/>
      <c r="M10" s="291"/>
    </row>
    <row r="11" ht="17.25">
      <c r="A11" s="288"/>
      <c r="B11" s="288"/>
      <c r="C11" s="288"/>
      <c r="D11" s="288"/>
      <c r="E11" s="288"/>
      <c r="F11" s="288"/>
      <c r="G11" s="288"/>
      <c r="H11" s="288"/>
      <c r="I11" s="292"/>
      <c r="J11" s="292"/>
      <c r="K11" s="292"/>
      <c r="L11" s="292"/>
      <c r="M11" s="292"/>
    </row>
    <row r="12" ht="15.5">
      <c r="A12" s="29" t="s">
        <v>1076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ht="15.5">
      <c r="A13" s="29"/>
      <c r="B13" s="29"/>
      <c r="C13" s="29"/>
      <c r="D13" s="29"/>
      <c r="E13" s="29"/>
      <c r="F13" s="29"/>
      <c r="G13" s="29"/>
      <c r="H13" s="29"/>
      <c r="I13" s="38"/>
      <c r="J13" s="38"/>
      <c r="K13" s="38"/>
      <c r="L13" s="38"/>
      <c r="M13" s="38"/>
    </row>
    <row r="14" ht="49.5" customHeight="1">
      <c r="A14" s="293" t="s">
        <v>1077</v>
      </c>
      <c r="B14" s="293" t="s">
        <v>10</v>
      </c>
      <c r="C14" s="294" t="s">
        <v>1078</v>
      </c>
      <c r="D14" s="294"/>
      <c r="E14" s="294"/>
      <c r="F14" s="294"/>
      <c r="G14" s="294"/>
      <c r="H14" s="294"/>
      <c r="I14" s="294"/>
      <c r="J14" s="294"/>
      <c r="K14" s="294"/>
      <c r="L14" s="294"/>
      <c r="M14" s="294"/>
    </row>
    <row r="15" ht="15.5">
      <c r="A15" s="293" t="s">
        <v>1079</v>
      </c>
      <c r="B15" s="295" t="s">
        <v>1080</v>
      </c>
      <c r="C15" s="296" t="s">
        <v>1081</v>
      </c>
      <c r="D15" s="296"/>
      <c r="E15" s="296"/>
      <c r="F15" s="296"/>
      <c r="G15" s="296"/>
      <c r="H15" s="296"/>
      <c r="I15" s="296"/>
      <c r="J15" s="296"/>
      <c r="K15" s="296"/>
      <c r="L15" s="296"/>
      <c r="M15" s="296"/>
    </row>
    <row r="16" s="223" customFormat="1" ht="20.149999999999999" customHeight="1">
      <c r="A16" s="293"/>
      <c r="B16" s="297" t="s">
        <v>1082</v>
      </c>
      <c r="C16" s="298" t="s">
        <v>1083</v>
      </c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S16" s="222"/>
      <c r="T16" s="222"/>
    </row>
    <row r="17" s="223" customFormat="1" ht="28.5" customHeight="1">
      <c r="A17" s="293"/>
      <c r="B17" s="297" t="s">
        <v>1084</v>
      </c>
      <c r="C17" s="294" t="s">
        <v>1085</v>
      </c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S17" s="222"/>
      <c r="T17" s="222"/>
    </row>
    <row r="18" s="223" customFormat="1" ht="18" customHeight="1">
      <c r="A18" s="293"/>
      <c r="B18" s="297" t="s">
        <v>1086</v>
      </c>
      <c r="C18" s="299" t="s">
        <v>1087</v>
      </c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S18" s="222"/>
      <c r="T18" s="222"/>
    </row>
    <row r="19" s="223" customFormat="1" ht="48.75" customHeight="1">
      <c r="A19" s="293" t="s">
        <v>1088</v>
      </c>
      <c r="B19" s="293" t="s">
        <v>10</v>
      </c>
      <c r="C19" s="294" t="s">
        <v>1089</v>
      </c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S19" s="222"/>
      <c r="T19" s="222"/>
    </row>
    <row r="20" s="223" customFormat="1" ht="8.25" customHeight="1">
      <c r="A20" s="291"/>
      <c r="B20" s="291"/>
      <c r="C20" s="291"/>
      <c r="D20" s="291"/>
      <c r="E20" s="291"/>
      <c r="F20" s="291"/>
      <c r="G20" s="291"/>
      <c r="H20" s="291"/>
      <c r="I20" s="289"/>
      <c r="J20" s="289"/>
      <c r="K20" s="289"/>
      <c r="L20" s="289"/>
      <c r="M20" s="289"/>
      <c r="S20" s="222"/>
      <c r="T20" s="222"/>
    </row>
    <row r="21" s="223" customFormat="1" ht="15.5">
      <c r="A21" s="300" t="s">
        <v>1090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S21" s="222"/>
      <c r="T21" s="222"/>
    </row>
    <row r="22" s="223" customFormat="1" ht="15.75" customHeight="1">
      <c r="A22" s="29" t="s">
        <v>1091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S22" s="222"/>
      <c r="T22" s="222"/>
    </row>
    <row r="23" s="223" customFormat="1" ht="20.149999999999999" customHeight="1">
      <c r="A23" s="29" t="s">
        <v>1092</v>
      </c>
      <c r="B23" s="29" t="s">
        <v>1093</v>
      </c>
      <c r="C23" s="29" t="s">
        <v>1094</v>
      </c>
      <c r="D23" s="29"/>
      <c r="E23" s="29"/>
      <c r="F23" s="301" t="str">
        <f>ENTRI!B4&amp;" "&amp;ENTRI!D4&amp;" "&amp;ENTRI!E4</f>
        <v xml:space="preserve">14 Juli 2025</v>
      </c>
      <c r="G23" s="301"/>
      <c r="H23" s="301"/>
      <c r="I23" s="29" t="s">
        <v>1095</v>
      </c>
      <c r="J23" s="29"/>
      <c r="K23" s="29"/>
      <c r="L23" s="29"/>
      <c r="M23" s="29"/>
      <c r="S23" s="222"/>
      <c r="T23" s="222"/>
    </row>
    <row r="24" s="223" customFormat="1" ht="20.149999999999999" customHeight="1">
      <c r="A24" s="29"/>
      <c r="B24" s="302" t="s">
        <v>1096</v>
      </c>
      <c r="C24" s="302"/>
      <c r="D24" s="302"/>
      <c r="E24" s="302"/>
      <c r="F24" s="293" t="s">
        <v>10</v>
      </c>
      <c r="G24" s="303" t="str">
        <f>VLOOKUP($O$3,REKAP!$C$8:$AS$178,7,FALSE)</f>
        <v xml:space="preserve">AHMAD GHIYATSIDDIN, S.Pd.</v>
      </c>
      <c r="H24" s="303"/>
      <c r="I24" s="303"/>
      <c r="J24" s="303"/>
      <c r="K24" s="303"/>
      <c r="L24" s="303"/>
      <c r="M24" s="303"/>
      <c r="S24" s="222"/>
      <c r="T24" s="222"/>
    </row>
    <row r="25" s="223" customFormat="1" ht="20.149999999999999" customHeight="1">
      <c r="A25" s="29"/>
      <c r="B25" s="302" t="s">
        <v>18</v>
      </c>
      <c r="C25" s="302"/>
      <c r="D25" s="302"/>
      <c r="E25" s="302"/>
      <c r="F25" s="293" t="s">
        <v>10</v>
      </c>
      <c r="G25" s="303" t="s">
        <v>1097</v>
      </c>
      <c r="H25" s="303"/>
      <c r="I25" s="303"/>
      <c r="J25" s="303"/>
      <c r="K25" s="303"/>
      <c r="L25" s="303"/>
      <c r="M25" s="303"/>
      <c r="S25" s="222"/>
      <c r="T25" s="222"/>
    </row>
    <row r="26" s="223" customFormat="1" ht="20.149999999999999" customHeight="1">
      <c r="A26" s="29"/>
      <c r="B26" s="302" t="s">
        <v>1098</v>
      </c>
      <c r="C26" s="302"/>
      <c r="D26" s="302"/>
      <c r="E26" s="302"/>
      <c r="F26" s="293" t="s">
        <v>10</v>
      </c>
      <c r="G26" s="303" t="str">
        <f>VLOOKUP($O$3,REKAP!$C$8:$AS$178,13,FALSE)</f>
        <v xml:space="preserve">Trenggalek, 25-07-1997</v>
      </c>
      <c r="H26" s="303"/>
      <c r="I26" s="303"/>
      <c r="J26" s="303"/>
      <c r="K26" s="303"/>
      <c r="L26" s="303"/>
      <c r="M26" s="303"/>
      <c r="S26" s="222"/>
      <c r="T26" s="222"/>
    </row>
    <row r="27" s="223" customFormat="1" ht="20.149999999999999" customHeight="1">
      <c r="A27" s="29"/>
      <c r="B27" s="302" t="s">
        <v>1099</v>
      </c>
      <c r="C27" s="302"/>
      <c r="D27" s="302"/>
      <c r="E27" s="302"/>
      <c r="F27" s="293" t="s">
        <v>1093</v>
      </c>
      <c r="G27" s="303" t="str">
        <f>VLOOKUP($O$3,REKAP!$C$8:$AS$178,26,FALSE)&amp;"/"&amp;VLOOKUP($O$3,REKAP!$C$8:$AS$178,27,FALSE)</f>
        <v xml:space="preserve">S1/PENDIDIKAN AGAMA ISLAM </v>
      </c>
      <c r="H27" s="303"/>
      <c r="I27" s="303"/>
      <c r="J27" s="303"/>
      <c r="K27" s="303"/>
      <c r="L27" s="303"/>
      <c r="M27" s="303"/>
      <c r="S27" s="222"/>
      <c r="T27" s="222"/>
    </row>
    <row r="28" s="223" customFormat="1" ht="20.149999999999999" customHeight="1">
      <c r="A28" s="29"/>
      <c r="B28" s="302" t="s">
        <v>73</v>
      </c>
      <c r="C28" s="302"/>
      <c r="D28" s="302"/>
      <c r="E28" s="302"/>
      <c r="F28" s="293" t="s">
        <v>10</v>
      </c>
      <c r="G28" s="303" t="s">
        <v>76</v>
      </c>
      <c r="H28" s="303"/>
      <c r="I28" s="303"/>
      <c r="J28" s="303"/>
      <c r="K28" s="303"/>
      <c r="L28" s="303"/>
      <c r="M28" s="303"/>
      <c r="S28" s="222"/>
      <c r="T28" s="222" t="str">
        <f>IF(G28="Guru","1","0")</f>
        <v>1</v>
      </c>
    </row>
    <row r="29" s="223" customFormat="1" ht="20.149999999999999" customHeight="1">
      <c r="A29" s="29"/>
      <c r="B29" s="302" t="s">
        <v>1100</v>
      </c>
      <c r="C29" s="302"/>
      <c r="D29" s="302"/>
      <c r="E29" s="302"/>
      <c r="F29" s="29" t="s">
        <v>10</v>
      </c>
      <c r="G29" s="304" t="str">
        <f>IF(T28="1","Guru Tetap Yayasan","Pegawai Tetap Yayasan")</f>
        <v xml:space="preserve">Guru Tetap Yayasan</v>
      </c>
      <c r="H29" s="304"/>
      <c r="I29" s="304"/>
      <c r="J29" s="305" t="s">
        <v>1101</v>
      </c>
      <c r="K29" s="305"/>
      <c r="L29" s="306" t="s">
        <v>1102</v>
      </c>
      <c r="M29" s="306"/>
      <c r="N29" s="307"/>
      <c r="O29" s="307"/>
      <c r="P29" s="307"/>
      <c r="S29" s="222"/>
      <c r="T29" s="222"/>
    </row>
    <row r="30" s="223" customFormat="1" ht="20.149999999999999" customHeight="1">
      <c r="A30" s="29"/>
      <c r="B30" s="302" t="s">
        <v>1103</v>
      </c>
      <c r="C30" s="302"/>
      <c r="D30" s="302"/>
      <c r="E30" s="302"/>
      <c r="F30" s="293" t="s">
        <v>10</v>
      </c>
      <c r="G30" s="308" t="str">
        <f>VLOOKUP($O$3,REKAP!$C$8:$AS$200,17,FALSE)</f>
        <v>18-07-2017</v>
      </c>
      <c r="H30" s="308"/>
      <c r="I30" s="308"/>
      <c r="J30" s="308"/>
      <c r="K30" s="308"/>
      <c r="L30" s="308"/>
      <c r="M30" s="309"/>
      <c r="S30" s="222"/>
      <c r="T30" s="222"/>
    </row>
    <row r="31" s="223" customFormat="1" ht="20.149999999999999" customHeight="1">
      <c r="A31" s="29"/>
      <c r="B31" s="302" t="s">
        <v>1104</v>
      </c>
      <c r="C31" s="302"/>
      <c r="D31" s="302"/>
      <c r="E31" s="302"/>
      <c r="F31" s="293" t="s">
        <v>10</v>
      </c>
      <c r="G31" s="308" t="str">
        <f>VLOOKUP($O$3,REKAP!$C$8:$AS$200,21,FALSE)</f>
        <v>18-07-2017</v>
      </c>
      <c r="H31" s="303"/>
      <c r="I31" s="303"/>
      <c r="J31" s="303"/>
      <c r="K31" s="303"/>
      <c r="L31" s="303"/>
      <c r="M31" s="309"/>
      <c r="S31" s="222"/>
      <c r="T31" s="222"/>
    </row>
    <row r="32" s="223" customFormat="1" ht="20.149999999999999" customHeight="1">
      <c r="A32" s="29"/>
      <c r="B32" s="302" t="s">
        <v>1105</v>
      </c>
      <c r="C32" s="302"/>
      <c r="D32" s="302"/>
      <c r="E32" s="302"/>
      <c r="F32" s="293" t="s">
        <v>10</v>
      </c>
      <c r="G32" s="310">
        <f>VLOOKUP($O$3,REKAP!$C$8:$AS$178,24,FALSE)</f>
        <v>8</v>
      </c>
      <c r="H32" s="311" t="s">
        <v>49</v>
      </c>
      <c r="I32" s="311"/>
      <c r="J32" s="312"/>
      <c r="K32" s="312"/>
      <c r="L32" s="311"/>
      <c r="M32" s="311"/>
      <c r="S32" s="222"/>
      <c r="T32" s="222"/>
    </row>
    <row r="33" s="223" customFormat="1" ht="15.5">
      <c r="A33" s="29"/>
      <c r="B33" s="29"/>
      <c r="C33" s="29"/>
      <c r="D33" s="29"/>
      <c r="E33" s="29"/>
      <c r="F33" s="29"/>
      <c r="G33" s="29"/>
      <c r="H33" s="29"/>
      <c r="I33" s="38"/>
      <c r="J33" s="38"/>
      <c r="K33" s="38"/>
      <c r="L33" s="38"/>
      <c r="M33" s="38"/>
      <c r="S33" s="222"/>
      <c r="T33" s="222"/>
    </row>
    <row r="34" s="223" customFormat="1" ht="33" customHeight="1">
      <c r="A34" s="313" t="s">
        <v>1106</v>
      </c>
      <c r="B34" s="313" t="s">
        <v>1093</v>
      </c>
      <c r="C34" s="296" t="s">
        <v>1107</v>
      </c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S34" s="222"/>
      <c r="T34" s="222"/>
    </row>
    <row r="35" s="223" customFormat="1" ht="45.75" customHeight="1">
      <c r="A35" s="313" t="s">
        <v>1108</v>
      </c>
      <c r="B35" s="313" t="s">
        <v>1093</v>
      </c>
      <c r="C35" s="296" t="s">
        <v>1109</v>
      </c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S35" s="222"/>
      <c r="T35" s="222"/>
    </row>
    <row r="36" s="223" customFormat="1" ht="35.25" customHeight="1">
      <c r="A36" s="313" t="s">
        <v>1110</v>
      </c>
      <c r="B36" s="313" t="s">
        <v>1093</v>
      </c>
      <c r="C36" s="296" t="s">
        <v>1111</v>
      </c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S36" s="222"/>
      <c r="T36" s="222"/>
    </row>
    <row r="37" s="223" customFormat="1" ht="15.5">
      <c r="A37" s="29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S37" s="222"/>
      <c r="T37" s="222"/>
    </row>
    <row r="38" s="223" customFormat="1" ht="15.5">
      <c r="A38" s="29"/>
      <c r="B38" s="29"/>
      <c r="C38" s="29"/>
      <c r="D38" s="29"/>
      <c r="E38" s="29"/>
      <c r="F38" s="29"/>
      <c r="G38" s="29"/>
      <c r="H38" s="29" t="s">
        <v>1112</v>
      </c>
      <c r="I38" s="38"/>
      <c r="J38" s="29" t="s">
        <v>10</v>
      </c>
      <c r="K38" s="38" t="s">
        <v>347</v>
      </c>
      <c r="L38" s="38"/>
      <c r="M38" s="38"/>
      <c r="S38" s="222"/>
      <c r="T38" s="222"/>
    </row>
    <row r="39" s="223" customFormat="1" ht="15.5">
      <c r="A39" s="29"/>
      <c r="B39" s="29"/>
      <c r="C39" s="29"/>
      <c r="D39" s="29"/>
      <c r="E39" s="29"/>
      <c r="F39" s="29"/>
      <c r="G39" s="29"/>
      <c r="H39" s="29" t="s">
        <v>1113</v>
      </c>
      <c r="I39" s="38"/>
      <c r="J39" s="29" t="s">
        <v>10</v>
      </c>
      <c r="K39" s="38" t="str">
        <f>F23</f>
        <v xml:space="preserve">14 Juli 2025</v>
      </c>
      <c r="L39" s="38"/>
      <c r="M39" s="29"/>
      <c r="S39" s="222"/>
      <c r="T39" s="222"/>
    </row>
    <row r="40" s="223" customFormat="1" ht="16.5">
      <c r="A40" s="29"/>
      <c r="B40" s="29"/>
      <c r="C40" s="29"/>
      <c r="D40" s="29"/>
      <c r="E40" s="29"/>
      <c r="F40" s="29"/>
      <c r="G40" s="29"/>
      <c r="H40" s="29" t="s">
        <v>1114</v>
      </c>
      <c r="I40" s="38"/>
      <c r="J40" s="38"/>
      <c r="K40" s="38"/>
      <c r="L40" s="315"/>
      <c r="M40" s="38"/>
      <c r="S40" s="222"/>
      <c r="T40" s="222"/>
    </row>
    <row r="41" s="223" customFormat="1" ht="14.5">
      <c r="A41" s="291"/>
      <c r="B41" s="291"/>
      <c r="C41" s="291"/>
      <c r="D41" s="291"/>
      <c r="E41" s="291"/>
      <c r="F41" s="291"/>
      <c r="G41" s="291"/>
      <c r="H41" s="291"/>
      <c r="I41" s="289"/>
      <c r="J41" s="289"/>
      <c r="K41" s="289"/>
      <c r="L41" s="316"/>
      <c r="M41" s="289"/>
      <c r="S41" s="222"/>
      <c r="T41" s="222"/>
    </row>
    <row r="42" s="223" customFormat="1" ht="14.5">
      <c r="A42" s="291"/>
      <c r="B42" s="291"/>
      <c r="C42" s="291"/>
      <c r="D42" s="291"/>
      <c r="E42" s="291"/>
      <c r="F42" s="291"/>
      <c r="G42" s="317" t="s">
        <v>1115</v>
      </c>
      <c r="H42" s="291"/>
      <c r="I42" s="289"/>
      <c r="J42" s="289"/>
      <c r="K42" s="289"/>
      <c r="L42" s="289"/>
      <c r="M42" s="289"/>
      <c r="S42" s="222"/>
      <c r="T42" s="222"/>
    </row>
    <row r="43" s="223" customFormat="1" ht="27.75" customHeight="1">
      <c r="A43" s="291"/>
      <c r="B43" s="291"/>
      <c r="C43" s="291"/>
      <c r="D43" s="291"/>
      <c r="E43" s="291"/>
      <c r="F43" s="291"/>
      <c r="G43" s="291"/>
      <c r="H43" s="291"/>
      <c r="I43" s="289"/>
      <c r="J43" s="289"/>
      <c r="K43" s="289"/>
      <c r="L43" s="289"/>
      <c r="M43" s="289"/>
      <c r="S43" s="222"/>
      <c r="T43" s="222"/>
    </row>
    <row r="44" s="223" customFormat="1" ht="15.5">
      <c r="A44" s="29"/>
      <c r="B44" s="29"/>
      <c r="C44" s="29"/>
      <c r="D44" s="29"/>
      <c r="E44" s="29"/>
      <c r="F44" s="29"/>
      <c r="G44" s="29"/>
      <c r="H44" s="318" t="s">
        <v>1116</v>
      </c>
      <c r="I44" s="38"/>
      <c r="J44" s="38"/>
      <c r="K44" s="38"/>
      <c r="L44" s="38"/>
      <c r="M44" s="38"/>
      <c r="S44" s="222"/>
      <c r="T44" s="222"/>
      <c r="X44" s="223" t="s">
        <v>1117</v>
      </c>
    </row>
    <row r="45" s="223" customFormat="1" ht="15.5">
      <c r="A45" s="29" t="s">
        <v>1118</v>
      </c>
      <c r="B45" s="29"/>
      <c r="C45" s="29"/>
      <c r="D45" s="29"/>
      <c r="E45" s="29"/>
      <c r="F45" s="29"/>
      <c r="G45" s="29"/>
      <c r="H45" s="29"/>
      <c r="I45" s="38"/>
      <c r="J45" s="38"/>
      <c r="K45" s="38"/>
      <c r="L45" s="38"/>
      <c r="M45" s="38"/>
      <c r="S45" s="222"/>
      <c r="T45" s="222"/>
      <c r="X45" s="223" t="s">
        <v>1119</v>
      </c>
    </row>
    <row r="46" s="223" customFormat="1" ht="15.5">
      <c r="A46" s="319" t="s">
        <v>1119</v>
      </c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1"/>
      <c r="S46" s="222"/>
      <c r="T46" s="222"/>
    </row>
    <row r="47" s="223" customFormat="1" ht="18.75">
      <c r="A47" s="29" t="s">
        <v>1120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322"/>
      <c r="M47" s="322"/>
      <c r="S47" s="222"/>
      <c r="T47" s="222"/>
    </row>
    <row r="48" s="223" customFormat="1" ht="15.5">
      <c r="A48" s="29" t="s">
        <v>1121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38"/>
      <c r="M48" s="38"/>
      <c r="S48" s="222"/>
      <c r="T48" s="222"/>
    </row>
    <row r="49" s="223" customFormat="1" ht="15.75">
      <c r="A49" s="29" t="s">
        <v>1122</v>
      </c>
      <c r="B49" s="29"/>
      <c r="C49" s="29"/>
      <c r="D49" s="323" t="str">
        <f>L29</f>
        <v xml:space="preserve">SMK Qomarul Hidayah 1</v>
      </c>
      <c r="E49" s="323"/>
      <c r="F49" s="323"/>
      <c r="G49" s="323"/>
      <c r="H49" s="323"/>
      <c r="I49" s="323"/>
      <c r="J49" s="323"/>
      <c r="K49" s="323"/>
      <c r="L49" s="323"/>
      <c r="M49" s="323"/>
      <c r="S49" s="222"/>
      <c r="T49" s="222"/>
    </row>
    <row r="50" s="223" customFormat="1" ht="15.5">
      <c r="A50" s="29" t="s">
        <v>1123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38"/>
      <c r="M50" s="38"/>
      <c r="S50" s="222"/>
      <c r="T50" s="222"/>
    </row>
    <row r="51" s="223" customFormat="1" ht="18.75">
      <c r="A51" s="29"/>
      <c r="B51" s="29"/>
      <c r="C51" s="29"/>
      <c r="D51" s="29"/>
      <c r="E51" s="29"/>
      <c r="F51" s="29"/>
      <c r="G51" s="29"/>
      <c r="H51" s="29"/>
      <c r="I51" s="38"/>
      <c r="J51" s="38"/>
      <c r="K51" s="324" t="s">
        <v>1124</v>
      </c>
      <c r="L51" s="322" t="str">
        <f>VLOOKUP($O$3,REKAP!$C$8:$AS$178,42,FALSE)</f>
        <v>06.01.113.2025</v>
      </c>
      <c r="M51" s="322"/>
      <c r="S51" s="222"/>
      <c r="T51" s="222"/>
    </row>
    <row r="52" s="223" customFormat="1" ht="15.75">
      <c r="A52" s="325" t="s">
        <v>1125</v>
      </c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S52" s="222"/>
      <c r="T52" s="222"/>
    </row>
  </sheetData>
  <mergeCells count="54">
    <mergeCell ref="C1:M1"/>
    <mergeCell ref="O1:R2"/>
    <mergeCell ref="C2:M2"/>
    <mergeCell ref="C3:M3"/>
    <mergeCell ref="O3:Q3"/>
    <mergeCell ref="C4:M4"/>
    <mergeCell ref="A5:L5"/>
    <mergeCell ref="A7:M7"/>
    <mergeCell ref="A8:M8"/>
    <mergeCell ref="A9:M9"/>
    <mergeCell ref="F10:L10"/>
    <mergeCell ref="A12:L12"/>
    <mergeCell ref="C14:M14"/>
    <mergeCell ref="C15:M15"/>
    <mergeCell ref="C16:M16"/>
    <mergeCell ref="C17:M17"/>
    <mergeCell ref="C18:L18"/>
    <mergeCell ref="C19:M19"/>
    <mergeCell ref="A21:M21"/>
    <mergeCell ref="A22:L22"/>
    <mergeCell ref="C23:E23"/>
    <mergeCell ref="I23:M23"/>
    <mergeCell ref="B24:E24"/>
    <mergeCell ref="G24:M24"/>
    <mergeCell ref="B25:E25"/>
    <mergeCell ref="G25:M25"/>
    <mergeCell ref="B26:E26"/>
    <mergeCell ref="G26:M26"/>
    <mergeCell ref="B27:E27"/>
    <mergeCell ref="G27:M27"/>
    <mergeCell ref="B28:E28"/>
    <mergeCell ref="G28:M28"/>
    <mergeCell ref="B29:E29"/>
    <mergeCell ref="G29:I29"/>
    <mergeCell ref="J29:K29"/>
    <mergeCell ref="L29:M29"/>
    <mergeCell ref="B30:E30"/>
    <mergeCell ref="G30:L30"/>
    <mergeCell ref="B31:E31"/>
    <mergeCell ref="G31:L31"/>
    <mergeCell ref="B32:E32"/>
    <mergeCell ref="J32:K32"/>
    <mergeCell ref="C34:M34"/>
    <mergeCell ref="C35:M35"/>
    <mergeCell ref="C36:M36"/>
    <mergeCell ref="A46:L46"/>
    <mergeCell ref="A47:K47"/>
    <mergeCell ref="L47:M47"/>
    <mergeCell ref="A48:K48"/>
    <mergeCell ref="A49:C49"/>
    <mergeCell ref="D49:M49"/>
    <mergeCell ref="A50:K50"/>
    <mergeCell ref="L51:M51"/>
    <mergeCell ref="A52:M52"/>
  </mergeCells>
  <printOptions headings="0" gridLines="0" horizontalCentered="1"/>
  <pageMargins left="0.23622047244094491" right="0.23622047244094491" top="0.39370078740157477" bottom="0.74803149606299213" header="0.31496062992125984" footer="0.31496062992125984"/>
  <pageSetup paperSize="5" scale="8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2"/>
  <legacyDrawing r:id="rId3"/>
  <controls>
    <mc:AlternateContent xmlns:mc="http://schemas.openxmlformats.org/markup-compatibility/2006">
      <mc:Choice Requires="x14">
        <control name="Drop Down 1" shapeId="12289" r:id="rId1">
          <controlPr autoLine="0" autoPict="0" defaultSize="0">
            <anchor sizeWithCells="1">
              <from>
                <xdr:col>14</xdr:col>
                <xdr:colOff>19050</xdr:colOff>
                <xdr:row>2</xdr:row>
                <xdr:rowOff>19050</xdr:rowOff>
              </from>
              <to>
                <xdr:col>17</xdr:col>
                <xdr:colOff>571500</xdr:colOff>
                <xdr:row>3</xdr:row>
                <xdr:rowOff>184150</xdr:rowOff>
              </to>
            </anchor>
          </controlPr>
        </control>
      </mc:Choice>
      <mc:Fallback>
        <control name="Drop Down 1" shapeId="12289" r:id="rId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1" id="{008C0038-0027-414F-852E-0045006B00C3}">
            <xm:f>LEN(TRIM(K39))=0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K39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10022-00F2-4FA8-B9D9-001A003500B5}" type="list" allowBlank="1" errorStyle="stop" imeMode="noControl" operator="between" showDropDown="0" showErrorMessage="1" showInputMessage="1">
          <x14:formula1>
            <xm:f>$X$44:$X$45</xm:f>
          </x14:formula1>
          <xm:sqref>A46:L46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</dc:creator>
  <cp:revision>1</cp:revision>
  <dcterms:created xsi:type="dcterms:W3CDTF">2014-05-15T13:46:30Z</dcterms:created>
  <dcterms:modified xsi:type="dcterms:W3CDTF">2026-02-25T05:40:15Z</dcterms:modified>
</cp:coreProperties>
</file>